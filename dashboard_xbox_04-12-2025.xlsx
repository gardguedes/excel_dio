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GARD\CARREIRA DE DADOS\Bootcamp - Excel e Power BI\"/>
    </mc:Choice>
  </mc:AlternateContent>
  <xr:revisionPtr revIDLastSave="0" documentId="8_{789B17FD-93F5-42B7-976E-0926E71AD4EE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" i="3" l="1"/>
  <c r="E26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<sst xmlns="http://schemas.openxmlformats.org/spreadsheetml/2006/main" count="2021" uniqueCount="323">
  <si>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</si>
  <si>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</si>
  <si>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</si>
  <si>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</si>
  <si>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</si>
  <si>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</si>
  <si>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</si>
  <si>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</si>
  <si>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</si>
  <si>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</si>
  <si>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</si>
  <si>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</si>
  <si>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</si>
  <si>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</si>
  <si>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</si>
  <si>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</si>
  <si>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</si>
  <si>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</si>
  <si>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</si>
  <si>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</si>
  <si>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</si>
  <si>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</si>
  <si>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</si>
  <si>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</si>
  <si>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</si>
  <si>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</si>
  <si>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</si>
  <si>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</si>
  <si>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</si>
  <si>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</si>
  <si>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</si>
  <si>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</si>
  <si>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</si>
  <si>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</si>
  <si>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</si>
  <si>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</si>
  <si>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</si>
  <si>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</si>
  <si>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</si>
  <si>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</si>
  <si>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</si>
  <si>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</si>
  <si>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</si>
  <si>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</si>
  <si>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</si>
  <si>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</si>
  <si>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</si>
  <si>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</si>
  <si>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</si>
  <si>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</si>
  <si>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</si>
  <si>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</si>
  <si>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</si>
  <si>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</si>
  <si>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</si>
  <si>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</si>
  <si>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</si>
  <si>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</si>
  <si>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</si>
  <si>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</si>
  <si>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</si>
  <si>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</si>
  <si>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</si>
  <si>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</si>
  <si>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</si>
  <si>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</si>
  <si>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</si>
  <si>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</si>
  <si>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</si>
  <si>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</si>
  <si>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</si>
  <si>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</si>
  <si>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</si>
  <si>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</si>
  <si>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</si>
  <si>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</si>
  <si>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</si>
  <si>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</si>
  <si>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</si>
  <si>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</si>
  <si>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</si>
  <si>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</si>
  <si>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</si>
  <si>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</si>
  <si>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</si>
  <si>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</si>
  <si>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</si>
  <si>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</si>
  <si>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</si>
  <si>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</si>
  <si>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</si>
  <si>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</si>
  <si>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</si>
  <si>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</si>
  <si>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</si>
  <si>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</si>
  <si>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</si>
  <si>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</si>
  <si>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</si>
  <si>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</si>
  <si>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</si>
  <si>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</si>
  <si>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</si>
  <si>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</si>
  <si>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</si>
  <si>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</si>
  <si>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</si>
  <si>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</si>
  <si>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</si>
  <si>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</si>
  <si>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</si>
  <si>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</si>
  <si>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</si>
  <si>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</si>
  <si>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</si>
  <si>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</si>
  <si>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</si>
  <si>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</si>
  <si>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</si>
  <si>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</si>
  <si>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</si>
  <si>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</si>
  <si>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</si>
  <si>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</si>
  <si>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</si>
  <si>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</si>
  <si>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</si>
  <si>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</si>
  <si>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</si>
  <si>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</si>
  <si>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</si>
  <si>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</si>
  <si>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</si>
  <si>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</si>
  <si>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</si>
  <si>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</si>
  <si>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</si>
  <si>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</si>
  <si>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</si>
  <si>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</si>
  <si>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</si>
  <si>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</si>
  <si>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</si>
  <si>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</si>
  <si>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</si>
  <si>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</si>
  <si>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</si>
  <si>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</si>
  <si>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</si>
  <si>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</si>
  <si>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</si>
  <si>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</si>
  <si>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</si>
  <si>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</si>
  <si>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</si>
  <si>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</si>
  <si>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</si>
  <si>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</si>
  <si>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</si>
  <si>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</si>
  <si>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</si>
  <si>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</si>
  <si>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</si>
  <si>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</si>
  <si>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</si>
  <si>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</si>
  <si>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</si>
  <si>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</si>
  <si>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</si>
  <si>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</si>
  <si>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</si>
  <si>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</si>
  <si>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</si>
  <si>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</si>
  <si>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</si>
  <si>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</si>
  <si>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</si>
  <si>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</si>
  <si>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</si>
  <si>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</si>
  <si>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</si>
  <si>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</si>
  <si>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</si>
  <si>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</si>
  <si>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</si>
  <si>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</si>
  <si>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</si>
  <si>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</si>
  <si>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</si>
  <si>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</si>
  <si>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</si>
  <si>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</si>
  <si>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</si>
  <si>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</si>
  <si>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</si>
  <si>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</si>
  <si>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</si>
  <si>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</si>
  <si>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</si>
  <si>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</si>
  <si>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</si>
  <si>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</si>
  <si>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</si>
  <si>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</si>
  <si>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</si>
  <si>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</si>
  <si>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</si>
  <si>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</si>
  <si>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</si>
  <si>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</si>
  <si>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</si>
  <si>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</si>
  <si>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</si>
  <si>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</si>
  <si>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</si>
  <si>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</si>
  <si>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</si>
  <si>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</si>
  <si>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</si>
  <si>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</si>
  <si>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</si>
  <si>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</si>
  <si>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</si>
  <si>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</si>
  <si>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</si>
  <si>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</si>
  <si>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</si>
  <si>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</si>
  <si>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</si>
  <si>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</si>
  <si>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</si>
  <si>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</si>
  <si>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</si>
  <si>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</si>
  <si>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</si>
  <si>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</si>
  <si>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</si>
  <si>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</si>
  <si>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</si>
  <si>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</si>
  <si>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</si>
  <si>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</si>
  <si>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</si>
  <si>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</si>
  <si>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</si>
  <si>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</si>
  <si>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</si>
  <si>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</si>
  <si>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</si>
  <si>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</si>
  <si>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</si>
  <si>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</si>
  <si>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</si>
  <si>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</si>
  <si>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</si>
  <si>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</si>
  <si>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</si>
  <si>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</si>
  <si>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</si>
  <si>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</si>
  <si>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</si>
  <si>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</si>
  <si>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</si>
  <si>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</si>
  <si>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</si>
  <si>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</si>
  <si>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</si>
  <si>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</si>
  <si>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</si>
  <si>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</si>
  <si>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</si>
  <si>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</si>
  <si>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</si>
  <si>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</si>
  <si>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</si>
  <si>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</si>
  <si>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</si>
  <si>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</si>
  <si>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</si>
  <si>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</si>
  <si>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</si>
  <si>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</si>
  <si>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</si>
  <si>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</si>
  <si>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</si>
  <si>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</si>
  <si>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</si>
  <si>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</si>
  <si>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</si>
  <si>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</si>
  <si>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</si>
  <si>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</si>
  <si>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</si>
  <si>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</si>
  <si>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</si>
  <si>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</si>
  <si>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</si>
  <si>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</si>
  <si>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</si>
  <si>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</si>
  <si>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</si>
  <si>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</si>
  <si>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</si>
  <si>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</si>
  <si>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</si>
  <si>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</si>
  <si>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</si>
  <si>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</si>
  <si>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</si>
  <si>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</si>
  <si>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</si>
  <si>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</si>
  <si>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</si>
  <si>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</t>
  </si>
  <si>
    <t>Pergunta 1 - Qual faturamento total de venda de planos anuais (com todas as assinaturas agregadas)</t>
  </si>
  <si>
    <t>Rótulos de Linha</t>
  </si>
  <si>
    <t>Total Geral</t>
  </si>
  <si>
    <t>Soma de Total Value</t>
  </si>
  <si>
    <t>Pergunta 2 - Qual o faturamento total de vendas de planos anuais, separado por auto renovação não é por auto renovação?</t>
  </si>
  <si>
    <t>Pergunta 3 - Qual o total de vendas de assinaturas do EA Play?</t>
  </si>
  <si>
    <t>Soma de EA Play Season Pass</t>
  </si>
  <si>
    <t>Pergunta 4 - Qual o total de vendas de assinaturas do Minecraft Season Pass?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</si>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</sst>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22C55E"/>
      <name val="Segoe UI"/>
      <family val="2"/>
    </font>
    <font>
      <b/>
      <sz val="18"/>
      <color rgb="FF22C55E"/>
      <name val="Segoe UI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NumberFormat="1"/>
    <xf numFmtId="164" fontId="0" fillId="0" borderId="0" xfId="0" applyNumberFormat="1"/>
    <xf numFmtId="0" fontId="6" fillId="5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color theme="1"/>
        <name val="Segoe UI"/>
        <family val="2"/>
        <scheme val="none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Verde Xbox" pivot="0" table="0" count="10" xr9:uid="{AA04E2CD-55D0-4F6B-B174-240163F2D3AE}">
      <tableStyleElement type="wholeTable" dxfId="1"/>
      <tableStyleElement type="headerRow" dxfId="0"/>
    </tableStyle>
  </tableStyles>
  <colors>
    <mruColors>
      <color rgb="FF22C55E"/>
      <color rgb="FFE8E6E9"/>
      <color rgb="FFF7F8FC"/>
      <color rgb="FF5BF6A8"/>
      <color rgb="FF2AE6B1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4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5117038483843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5117038483843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5117038483843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Verde 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[dashboard_xbox_04-12-2025.xlsx]C̳álculos!tbl_anual_total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8E6E9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fld id="{E0FA65EA-FFBE-4333-B5AD-081463776E56}" type="VALUE">
                  <a:rPr lang="en-US" b="1"/>
                  <a:pPr>
                    <a:defRPr sz="1300" b="1">
                      <a:solidFill>
                        <a:srgbClr val="22C55E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3973003374578178E-2"/>
          <c:y val="5.4726368159203981E-2"/>
          <c:w val="0.88458291034314107"/>
          <c:h val="0.890547263681592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8E6E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3B-4546-80D0-2836B57B8A69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3B-4546-80D0-2836B57B8A6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0FA65EA-FFBE-4333-B5AD-081463776E56}" type="VALUE">
                      <a:rPr lang="en-US" b="1"/>
                      <a:pPr/>
                      <a:t>[VALOR]</a:t>
                    </a:fld>
                    <a:endParaRPr lang="pt-BR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43B-4546-80D0-2836B57B8A69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3B-4546-80D0-2836B57B8A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3B-4546-80D0-2836B57B8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0158175"/>
        <c:axId val="660160095"/>
      </c:barChart>
      <c:catAx>
        <c:axId val="66015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60160095"/>
        <c:crosses val="autoZero"/>
        <c:auto val="1"/>
        <c:lblAlgn val="ctr"/>
        <c:lblOffset val="100"/>
        <c:noMultiLvlLbl val="0"/>
      </c:catAx>
      <c:valAx>
        <c:axId val="66016009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601581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28574</xdr:colOff>
      <xdr:row>6</xdr:row>
      <xdr:rowOff>114300</xdr:rowOff>
    </xdr:from>
    <xdr:to>
      <xdr:col>0</xdr:col>
      <xdr:colOff>1790699</xdr:colOff>
      <xdr:row>20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>
              <a:extLst>
                <a:ext uri="{FF2B5EF4-FFF2-40B4-BE49-F238E27FC236}">
                  <a16:creationId xmlns:a16="http://schemas.microsoft.com/office/drawing/2014/main" id="{96684818-B54E-457F-8ABC-E06DAD6850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4" y="1428750"/>
              <a:ext cx="1762125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152400</xdr:colOff>
      <xdr:row>6</xdr:row>
      <xdr:rowOff>95248</xdr:rowOff>
    </xdr:from>
    <xdr:to>
      <xdr:col>12</xdr:col>
      <xdr:colOff>104774</xdr:colOff>
      <xdr:row>17</xdr:row>
      <xdr:rowOff>54070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74B257E6-12A1-B4A2-90B1-033C9B81EE72}"/>
            </a:ext>
          </a:extLst>
        </xdr:cNvPr>
        <xdr:cNvGrpSpPr/>
      </xdr:nvGrpSpPr>
      <xdr:grpSpPr>
        <a:xfrm>
          <a:off x="2343150" y="1409698"/>
          <a:ext cx="5886449" cy="2082897"/>
          <a:chOff x="2095501" y="1543049"/>
          <a:chExt cx="4953000" cy="175260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972A47B0-88C4-1470-6413-5B4E6E84DE72}"/>
              </a:ext>
            </a:extLst>
          </xdr:cNvPr>
          <xdr:cNvSpPr/>
        </xdr:nvSpPr>
        <xdr:spPr>
          <a:xfrm>
            <a:off x="2095501" y="1809751"/>
            <a:ext cx="4953000" cy="1447800"/>
          </a:xfrm>
          <a:prstGeom prst="roundRect">
            <a:avLst>
              <a:gd name="adj" fmla="val 3552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6" name="Retângulo 5">
            <a:extLst>
              <a:ext uri="{FF2B5EF4-FFF2-40B4-BE49-F238E27FC236}">
                <a16:creationId xmlns:a16="http://schemas.microsoft.com/office/drawing/2014/main" id="{349F0157-B236-76F3-5D03-C05177905F7B}"/>
              </a:ext>
            </a:extLst>
          </xdr:cNvPr>
          <xdr:cNvSpPr/>
        </xdr:nvSpPr>
        <xdr:spPr>
          <a:xfrm>
            <a:off x="3848099" y="2238375"/>
            <a:ext cx="2182553" cy="695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997BC9FE-993F-4F04-91AF-4296B4C2EBC6}" type="TxLink">
              <a:rPr lang="en-US" sz="3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R$ 1.350,00 </a:t>
            </a:fld>
            <a:endParaRPr lang="pt-BR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3200E5BC-1408-423E-96B2-E67FAA85F4D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1249" y="2066924"/>
            <a:ext cx="1284941" cy="1228725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0990C2D6-954A-4D53-B96F-2759E77AD105}"/>
              </a:ext>
            </a:extLst>
          </xdr:cNvPr>
          <xdr:cNvSpPr/>
        </xdr:nvSpPr>
        <xdr:spPr>
          <a:xfrm>
            <a:off x="2095501" y="1543049"/>
            <a:ext cx="4953000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2</xdr:col>
      <xdr:colOff>152400</xdr:colOff>
      <xdr:row>19</xdr:row>
      <xdr:rowOff>133350</xdr:rowOff>
    </xdr:from>
    <xdr:to>
      <xdr:col>23</xdr:col>
      <xdr:colOff>28575</xdr:colOff>
      <xdr:row>44</xdr:row>
      <xdr:rowOff>28575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5DBC97CB-10BB-EBD6-371E-DF8484EA97F0}"/>
            </a:ext>
          </a:extLst>
        </xdr:cNvPr>
        <xdr:cNvGrpSpPr/>
      </xdr:nvGrpSpPr>
      <xdr:grpSpPr>
        <a:xfrm>
          <a:off x="2343150" y="3933825"/>
          <a:ext cx="12515850" cy="4419600"/>
          <a:chOff x="2028825" y="1428750"/>
          <a:chExt cx="9261432" cy="379095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BE98E80E-361B-86C2-1D9F-EE03DA16A37A}"/>
              </a:ext>
            </a:extLst>
          </xdr:cNvPr>
          <xdr:cNvSpPr/>
        </xdr:nvSpPr>
        <xdr:spPr>
          <a:xfrm>
            <a:off x="2028825" y="1676399"/>
            <a:ext cx="9258299" cy="3543301"/>
          </a:xfrm>
          <a:prstGeom prst="roundRect">
            <a:avLst>
              <a:gd name="adj" fmla="val 1670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F17EDC26-ADCB-4D63-835A-961B71D1C6DC}"/>
              </a:ext>
            </a:extLst>
          </xdr:cNvPr>
          <xdr:cNvGraphicFramePr>
            <a:graphicFrameLocks/>
          </xdr:cNvGraphicFramePr>
        </xdr:nvGraphicFramePr>
        <xdr:xfrm>
          <a:off x="2324099" y="2247900"/>
          <a:ext cx="8791575" cy="25527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1E734139-2528-45F6-AB1E-CD2CED2C26DC}"/>
              </a:ext>
            </a:extLst>
          </xdr:cNvPr>
          <xdr:cNvSpPr/>
        </xdr:nvSpPr>
        <xdr:spPr>
          <a:xfrm>
            <a:off x="2028826" y="1428750"/>
            <a:ext cx="9261431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13</xdr:col>
      <xdr:colOff>323850</xdr:colOff>
      <xdr:row>6</xdr:row>
      <xdr:rowOff>95248</xdr:rowOff>
    </xdr:from>
    <xdr:to>
      <xdr:col>23</xdr:col>
      <xdr:colOff>114299</xdr:colOff>
      <xdr:row>17</xdr:row>
      <xdr:rowOff>8792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F2E381EA-91FF-6C35-7619-08AE5560A133}"/>
            </a:ext>
          </a:extLst>
        </xdr:cNvPr>
        <xdr:cNvGrpSpPr/>
      </xdr:nvGrpSpPr>
      <xdr:grpSpPr>
        <a:xfrm>
          <a:off x="9058275" y="1409698"/>
          <a:ext cx="5886449" cy="2037619"/>
          <a:chOff x="7810501" y="1552574"/>
          <a:chExt cx="4953000" cy="1714502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69B0B0D2-5CFD-B28E-A65C-2D8AED56CCDC}"/>
              </a:ext>
            </a:extLst>
          </xdr:cNvPr>
          <xdr:cNvSpPr/>
        </xdr:nvSpPr>
        <xdr:spPr>
          <a:xfrm>
            <a:off x="7810501" y="1819276"/>
            <a:ext cx="4953000" cy="1447800"/>
          </a:xfrm>
          <a:prstGeom prst="roundRect">
            <a:avLst>
              <a:gd name="adj" fmla="val 3552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10" name="Retângulo 9">
            <a:extLst>
              <a:ext uri="{FF2B5EF4-FFF2-40B4-BE49-F238E27FC236}">
                <a16:creationId xmlns:a16="http://schemas.microsoft.com/office/drawing/2014/main" id="{233A9981-FA95-C9CF-16F1-693CEE039F46}"/>
              </a:ext>
            </a:extLst>
          </xdr:cNvPr>
          <xdr:cNvSpPr/>
        </xdr:nvSpPr>
        <xdr:spPr>
          <a:xfrm>
            <a:off x="9867652" y="2247900"/>
            <a:ext cx="2447034" cy="695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1702B81A-0A1B-4C42-BF3E-45B03371EF53}" type="TxLink">
              <a:rPr lang="en-US" sz="3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R$ 1.800,00 </a:t>
            </a:fld>
            <a:endParaRPr lang="pt-BR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36E8C1C0-A0C1-C46F-3097-33656A45BB12}"/>
              </a:ext>
            </a:extLst>
          </xdr:cNvPr>
          <xdr:cNvSpPr/>
        </xdr:nvSpPr>
        <xdr:spPr>
          <a:xfrm>
            <a:off x="7810501" y="1552574"/>
            <a:ext cx="4953000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A517DB5A-3459-4AA0-BB64-83DACCAC4B01}"/>
              </a:ext>
            </a:extLst>
          </xdr:cNvPr>
          <xdr:cNvGrpSpPr/>
        </xdr:nvGrpSpPr>
        <xdr:grpSpPr>
          <a:xfrm>
            <a:off x="8058150" y="2266950"/>
            <a:ext cx="1416126" cy="704850"/>
            <a:chOff x="3495675" y="5400674"/>
            <a:chExt cx="1549476" cy="752476"/>
          </a:xfrm>
        </xdr:grpSpPr>
        <xdr:pic>
          <xdr:nvPicPr>
            <xdr:cNvPr id="15" name="Imagem 14">
              <a:extLst>
                <a:ext uri="{FF2B5EF4-FFF2-40B4-BE49-F238E27FC236}">
                  <a16:creationId xmlns:a16="http://schemas.microsoft.com/office/drawing/2014/main" id="{780DA04C-3B97-4A90-2E93-CBB233C9CD2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6" name="Gráfico 15">
              <a:extLst>
                <a:ext uri="{FF2B5EF4-FFF2-40B4-BE49-F238E27FC236}">
                  <a16:creationId xmlns:a16="http://schemas.microsoft.com/office/drawing/2014/main" id="{049AD603-D1F2-705C-1075-7007240943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0</xdr:col>
      <xdr:colOff>428625</xdr:colOff>
      <xdr:row>0</xdr:row>
      <xdr:rowOff>152400</xdr:rowOff>
    </xdr:from>
    <xdr:to>
      <xdr:col>0</xdr:col>
      <xdr:colOff>1123950</xdr:colOff>
      <xdr:row>2</xdr:row>
      <xdr:rowOff>158115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3495228E-A2A6-4CDD-AEE4-40033AF71D67}"/>
            </a:ext>
          </a:extLst>
        </xdr:cNvPr>
        <xdr:cNvSpPr/>
      </xdr:nvSpPr>
      <xdr:spPr>
        <a:xfrm>
          <a:off x="428625" y="152400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85724</xdr:colOff>
      <xdr:row>4</xdr:row>
      <xdr:rowOff>38099</xdr:rowOff>
    </xdr:from>
    <xdr:to>
      <xdr:col>0</xdr:col>
      <xdr:colOff>1619249</xdr:colOff>
      <xdr:row>6</xdr:row>
      <xdr:rowOff>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57823F03-B608-ED0C-3D34-B3FDC87D8569}"/>
            </a:ext>
          </a:extLst>
        </xdr:cNvPr>
        <xdr:cNvSpPr/>
      </xdr:nvSpPr>
      <xdr:spPr>
        <a:xfrm>
          <a:off x="85724" y="1009649"/>
          <a:ext cx="1533525" cy="304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Bem-vinda, Cláudia</a:t>
          </a:r>
        </a:p>
      </xdr:txBody>
    </xdr:sp>
    <xdr:clientData/>
  </xdr:twoCellAnchor>
  <xdr:twoCellAnchor>
    <xdr:from>
      <xdr:col>2</xdr:col>
      <xdr:colOff>47624</xdr:colOff>
      <xdr:row>4</xdr:row>
      <xdr:rowOff>19049</xdr:rowOff>
    </xdr:from>
    <xdr:to>
      <xdr:col>12</xdr:col>
      <xdr:colOff>314325</xdr:colOff>
      <xdr:row>5</xdr:row>
      <xdr:rowOff>76200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9C42A1BE-9150-506A-809E-E10322E63EA0}"/>
            </a:ext>
          </a:extLst>
        </xdr:cNvPr>
        <xdr:cNvSpPr/>
      </xdr:nvSpPr>
      <xdr:spPr>
        <a:xfrm>
          <a:off x="2238374" y="990599"/>
          <a:ext cx="6200776" cy="3048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ysClr val="windowText" lastClr="000000"/>
              </a:solidFill>
              <a:latin typeface="Segoe UI" panose="020B0502040204020203" pitchFamily="34" charset="0"/>
              <a:cs typeface="Segoe UI" panose="020B0502040204020203" pitchFamily="34" charset="0"/>
            </a:rPr>
            <a:t> Calculation period: 01/01/2024 - 31/12/2024 | Update date: 04/12/2025 22:21:00</a:t>
          </a:r>
        </a:p>
      </xdr:txBody>
    </xdr:sp>
    <xdr:clientData/>
  </xdr:twoCellAnchor>
  <xdr:twoCellAnchor>
    <xdr:from>
      <xdr:col>4</xdr:col>
      <xdr:colOff>514349</xdr:colOff>
      <xdr:row>1</xdr:row>
      <xdr:rowOff>47624</xdr:rowOff>
    </xdr:from>
    <xdr:to>
      <xdr:col>12</xdr:col>
      <xdr:colOff>342900</xdr:colOff>
      <xdr:row>2</xdr:row>
      <xdr:rowOff>66675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33E8A6EE-732A-ABFA-E150-94403CD4A86C}"/>
            </a:ext>
          </a:extLst>
        </xdr:cNvPr>
        <xdr:cNvSpPr/>
      </xdr:nvSpPr>
      <xdr:spPr>
        <a:xfrm>
          <a:off x="3924299" y="209549"/>
          <a:ext cx="4543426" cy="5143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20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GAME PASS SUBSCRIPTIONS SALES</a:t>
          </a:r>
        </a:p>
      </xdr:txBody>
    </xdr:sp>
    <xdr:clientData/>
  </xdr:twoCellAnchor>
  <xdr:twoCellAnchor editAs="oneCell">
    <xdr:from>
      <xdr:col>2</xdr:col>
      <xdr:colOff>104774</xdr:colOff>
      <xdr:row>1</xdr:row>
      <xdr:rowOff>76199</xdr:rowOff>
    </xdr:from>
    <xdr:to>
      <xdr:col>4</xdr:col>
      <xdr:colOff>386171</xdr:colOff>
      <xdr:row>2</xdr:row>
      <xdr:rowOff>17907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832AC6FD-DEC4-4891-B849-97DBF496B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5524" y="238124"/>
          <a:ext cx="1500597" cy="437008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6</xdr:row>
      <xdr:rowOff>95248</xdr:rowOff>
    </xdr:from>
    <xdr:to>
      <xdr:col>12</xdr:col>
      <xdr:colOff>133349</xdr:colOff>
      <xdr:row>17</xdr:row>
      <xdr:rowOff>54070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1F2661DF-4B70-13E9-FB5E-EFC490073A7D}"/>
            </a:ext>
          </a:extLst>
        </xdr:cNvPr>
        <xdr:cNvGrpSpPr/>
      </xdr:nvGrpSpPr>
      <xdr:grpSpPr>
        <a:xfrm>
          <a:off x="2371725" y="1409698"/>
          <a:ext cx="5886449" cy="2082897"/>
          <a:chOff x="2095501" y="1543049"/>
          <a:chExt cx="4953000" cy="1752600"/>
        </a:xfrm>
      </xdr:grpSpPr>
      <xdr:sp macro="" textlink="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E69F2F57-4790-686A-7954-076699DB54F9}"/>
              </a:ext>
            </a:extLst>
          </xdr:cNvPr>
          <xdr:cNvSpPr/>
        </xdr:nvSpPr>
        <xdr:spPr>
          <a:xfrm>
            <a:off x="2095501" y="1809751"/>
            <a:ext cx="4953000" cy="1447800"/>
          </a:xfrm>
          <a:prstGeom prst="roundRect">
            <a:avLst>
              <a:gd name="adj" fmla="val 3552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6">
        <xdr:nvSpPr>
          <xdr:cNvPr id="29" name="Retângulo 28">
            <a:extLst>
              <a:ext uri="{FF2B5EF4-FFF2-40B4-BE49-F238E27FC236}">
                <a16:creationId xmlns:a16="http://schemas.microsoft.com/office/drawing/2014/main" id="{7A629143-62DD-F0CB-B2D4-8237D030587D}"/>
              </a:ext>
            </a:extLst>
          </xdr:cNvPr>
          <xdr:cNvSpPr/>
        </xdr:nvSpPr>
        <xdr:spPr>
          <a:xfrm>
            <a:off x="4160667" y="2238375"/>
            <a:ext cx="2182553" cy="695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997BC9FE-993F-4F04-91AF-4296B4C2EBC6}" type="TxLink">
              <a:rPr lang="en-US" sz="3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R$ 600,00 </a:t>
            </a:fld>
            <a:endParaRPr lang="pt-BR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30" name="Imagem 29">
            <a:extLst>
              <a:ext uri="{FF2B5EF4-FFF2-40B4-BE49-F238E27FC236}">
                <a16:creationId xmlns:a16="http://schemas.microsoft.com/office/drawing/2014/main" id="{C5E7F109-C46A-EBED-A453-33204CF40D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81249" y="1875168"/>
            <a:ext cx="1485471" cy="1420481"/>
          </a:xfrm>
          <a:prstGeom prst="rect">
            <a:avLst/>
          </a:prstGeom>
        </xdr:spPr>
      </xdr:pic>
      <xdr:sp macro="" textlink="">
        <xdr:nvSpPr>
          <xdr:cNvPr id="31" name="Retângulo: Cantos Superiores Arredondados 30">
            <a:extLst>
              <a:ext uri="{FF2B5EF4-FFF2-40B4-BE49-F238E27FC236}">
                <a16:creationId xmlns:a16="http://schemas.microsoft.com/office/drawing/2014/main" id="{397BBB1E-7E19-7E28-068E-3F76671397AE}"/>
              </a:ext>
            </a:extLst>
          </xdr:cNvPr>
          <xdr:cNvSpPr/>
        </xdr:nvSpPr>
        <xdr:spPr>
          <a:xfrm>
            <a:off x="2095501" y="1543049"/>
            <a:ext cx="4953000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13</xdr:col>
      <xdr:colOff>352425</xdr:colOff>
      <xdr:row>6</xdr:row>
      <xdr:rowOff>95248</xdr:rowOff>
    </xdr:from>
    <xdr:to>
      <xdr:col>23</xdr:col>
      <xdr:colOff>142874</xdr:colOff>
      <xdr:row>17</xdr:row>
      <xdr:rowOff>8792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9FC67724-136E-BD03-6580-A65F57A48EB8}"/>
            </a:ext>
          </a:extLst>
        </xdr:cNvPr>
        <xdr:cNvGrpSpPr/>
      </xdr:nvGrpSpPr>
      <xdr:grpSpPr>
        <a:xfrm>
          <a:off x="9086850" y="1409698"/>
          <a:ext cx="5886449" cy="2037619"/>
          <a:chOff x="7810501" y="1552574"/>
          <a:chExt cx="4953000" cy="1714502"/>
        </a:xfrm>
      </xdr:grpSpPr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656F8920-04AB-B1F0-2CAB-986C6B6435DB}"/>
              </a:ext>
            </a:extLst>
          </xdr:cNvPr>
          <xdr:cNvSpPr/>
        </xdr:nvSpPr>
        <xdr:spPr>
          <a:xfrm>
            <a:off x="7810501" y="1819276"/>
            <a:ext cx="4953000" cy="1447800"/>
          </a:xfrm>
          <a:prstGeom prst="roundRect">
            <a:avLst>
              <a:gd name="adj" fmla="val 3552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34" name="Retângulo 33">
            <a:extLst>
              <a:ext uri="{FF2B5EF4-FFF2-40B4-BE49-F238E27FC236}">
                <a16:creationId xmlns:a16="http://schemas.microsoft.com/office/drawing/2014/main" id="{4AD51905-B937-58F9-B47B-27E1207FCA0E}"/>
              </a:ext>
            </a:extLst>
          </xdr:cNvPr>
          <xdr:cNvSpPr/>
        </xdr:nvSpPr>
        <xdr:spPr>
          <a:xfrm>
            <a:off x="9867652" y="2247900"/>
            <a:ext cx="2447034" cy="695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1702B81A-0A1B-4C42-BF3E-45B03371EF53}" type="TxLink">
              <a:rPr lang="en-US" sz="36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R$ 940,00 </a:t>
            </a:fld>
            <a:endParaRPr lang="pt-BR" sz="36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5" name="Retângulo: Cantos Superiores Arredondados 34">
            <a:extLst>
              <a:ext uri="{FF2B5EF4-FFF2-40B4-BE49-F238E27FC236}">
                <a16:creationId xmlns:a16="http://schemas.microsoft.com/office/drawing/2014/main" id="{14BD8C5E-639F-4E06-CA59-27AA88B7991A}"/>
              </a:ext>
            </a:extLst>
          </xdr:cNvPr>
          <xdr:cNvSpPr/>
        </xdr:nvSpPr>
        <xdr:spPr>
          <a:xfrm>
            <a:off x="7810501" y="1552574"/>
            <a:ext cx="4953000" cy="46672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MINECRAFT SEASON PASS</a:t>
            </a:r>
          </a:p>
        </xdr:txBody>
      </xdr:sp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112E73F6-4B8D-4E17-8730-5E65D0CC03B8}"/>
              </a:ext>
            </a:extLst>
          </xdr:cNvPr>
          <xdr:cNvGrpSpPr/>
        </xdr:nvGrpSpPr>
        <xdr:grpSpPr>
          <a:xfrm>
            <a:off x="8058150" y="2266950"/>
            <a:ext cx="1416126" cy="704850"/>
            <a:chOff x="3495675" y="5400674"/>
            <a:chExt cx="1549476" cy="752476"/>
          </a:xfrm>
        </xdr:grpSpPr>
        <xdr:pic>
          <xdr:nvPicPr>
            <xdr:cNvPr id="37" name="Imagem 36">
              <a:extLst>
                <a:ext uri="{FF2B5EF4-FFF2-40B4-BE49-F238E27FC236}">
                  <a16:creationId xmlns:a16="http://schemas.microsoft.com/office/drawing/2014/main" id="{15641E5D-6653-FFC5-6211-5321BFC8880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8" name="Gráfico 37">
              <a:extLst>
                <a:ext uri="{FF2B5EF4-FFF2-40B4-BE49-F238E27FC236}">
                  <a16:creationId xmlns:a16="http://schemas.microsoft.com/office/drawing/2014/main" id="{FE0459A4-1BB1-62DF-D8FD-91FF29784E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dênia Guedes" refreshedDate="45995.895788773145" createdVersion="8" refreshedVersion="8" minRefreshableVersion="3" recordCount="295" xr:uid="{ACB77376-6EC2-42E7-A972-427C1F19327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3072497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s v="Yes"/>
    <x v="0"/>
    <s v="Yes"/>
    <n v="20"/>
    <n v="5"/>
    <n v="60"/>
  </r>
  <r>
    <n v="3232"/>
    <s v="Maria Oliveira"/>
    <x v="1"/>
    <x v="1"/>
    <x v="1"/>
    <n v="5"/>
    <x v="1"/>
    <s v="No"/>
    <x v="1"/>
    <s v="No"/>
    <n v="0"/>
    <n v="0"/>
    <n v="5"/>
  </r>
  <r>
    <n v="3233"/>
    <s v="Lucas Fernandes"/>
    <x v="2"/>
    <x v="2"/>
    <x v="0"/>
    <n v="10"/>
    <x v="2"/>
    <s v="No"/>
    <x v="1"/>
    <s v="Yes"/>
    <n v="20"/>
    <n v="10"/>
    <n v="20"/>
  </r>
  <r>
    <n v="3234"/>
    <s v="Ana Souza"/>
    <x v="0"/>
    <x v="3"/>
    <x v="1"/>
    <n v="15"/>
    <x v="0"/>
    <s v="Yes"/>
    <x v="0"/>
    <s v="Yes"/>
    <n v="20"/>
    <n v="3"/>
    <n v="62"/>
  </r>
  <r>
    <n v="3235"/>
    <s v="Pedro Gonçalves"/>
    <x v="1"/>
    <x v="4"/>
    <x v="0"/>
    <n v="5"/>
    <x v="0"/>
    <s v="No"/>
    <x v="1"/>
    <s v="No"/>
    <n v="0"/>
    <n v="1"/>
    <n v="4"/>
  </r>
  <r>
    <n v="3236"/>
    <s v="Felipe Costa"/>
    <x v="2"/>
    <x v="5"/>
    <x v="1"/>
    <n v="10"/>
    <x v="0"/>
    <s v="No"/>
    <x v="1"/>
    <s v="Yes"/>
    <n v="20"/>
    <n v="2"/>
    <n v="28"/>
  </r>
  <r>
    <n v="3237"/>
    <s v="Camila Ribeiro"/>
    <x v="0"/>
    <x v="6"/>
    <x v="0"/>
    <n v="15"/>
    <x v="2"/>
    <s v="Yes"/>
    <x v="0"/>
    <s v="Yes"/>
    <n v="20"/>
    <n v="10"/>
    <n v="55"/>
  </r>
  <r>
    <n v="3238"/>
    <s v="André Mendes"/>
    <x v="1"/>
    <x v="7"/>
    <x v="0"/>
    <n v="5"/>
    <x v="1"/>
    <s v="No"/>
    <x v="1"/>
    <s v="No"/>
    <n v="0"/>
    <n v="0"/>
    <n v="5"/>
  </r>
  <r>
    <n v="3239"/>
    <s v="Sofia Almeida"/>
    <x v="0"/>
    <x v="4"/>
    <x v="1"/>
    <n v="15"/>
    <x v="0"/>
    <s v="Yes"/>
    <x v="0"/>
    <s v="Yes"/>
    <n v="20"/>
    <n v="5"/>
    <n v="60"/>
  </r>
  <r>
    <n v="3240"/>
    <s v="Bruno Martins"/>
    <x v="2"/>
    <x v="8"/>
    <x v="0"/>
    <n v="10"/>
    <x v="2"/>
    <s v="No"/>
    <x v="1"/>
    <s v="Yes"/>
    <n v="20"/>
    <n v="15"/>
    <n v="15"/>
  </r>
  <r>
    <n v="3241"/>
    <s v="Rita Castro"/>
    <x v="1"/>
    <x v="9"/>
    <x v="1"/>
    <n v="5"/>
    <x v="0"/>
    <s v="No"/>
    <x v="1"/>
    <s v="No"/>
    <n v="0"/>
    <n v="1"/>
    <n v="4"/>
  </r>
  <r>
    <n v="3242"/>
    <s v="Marco Túlio"/>
    <x v="0"/>
    <x v="10"/>
    <x v="0"/>
    <n v="15"/>
    <x v="1"/>
    <s v="Yes"/>
    <x v="0"/>
    <s v="Yes"/>
    <n v="20"/>
    <n v="20"/>
    <n v="45"/>
  </r>
  <r>
    <n v="3243"/>
    <s v="Lívia Silveira"/>
    <x v="2"/>
    <x v="11"/>
    <x v="1"/>
    <n v="10"/>
    <x v="0"/>
    <s v="No"/>
    <x v="1"/>
    <s v="Yes"/>
    <n v="20"/>
    <n v="10"/>
    <n v="20"/>
  </r>
  <r>
    <n v="3244"/>
    <s v="Diogo Sousa"/>
    <x v="1"/>
    <x v="12"/>
    <x v="0"/>
    <n v="5"/>
    <x v="2"/>
    <s v="No"/>
    <x v="1"/>
    <s v="No"/>
    <n v="0"/>
    <n v="0"/>
    <n v="5"/>
  </r>
  <r>
    <n v="3245"/>
    <s v="Fernanda Lima"/>
    <x v="0"/>
    <x v="13"/>
    <x v="1"/>
    <n v="15"/>
    <x v="0"/>
    <s v="Yes"/>
    <x v="0"/>
    <s v="Yes"/>
    <n v="20"/>
    <n v="8"/>
    <n v="57"/>
  </r>
  <r>
    <n v="3246"/>
    <s v="Caio Pereira"/>
    <x v="2"/>
    <x v="14"/>
    <x v="0"/>
    <n v="10"/>
    <x v="1"/>
    <s v="No"/>
    <x v="1"/>
    <s v="Yes"/>
    <n v="20"/>
    <n v="12"/>
    <n v="18"/>
  </r>
  <r>
    <n v="3247"/>
    <s v="Beatriz Gomes"/>
    <x v="1"/>
    <x v="15"/>
    <x v="1"/>
    <n v="5"/>
    <x v="0"/>
    <s v="No"/>
    <x v="1"/>
    <s v="No"/>
    <n v="0"/>
    <n v="2"/>
    <n v="3"/>
  </r>
  <r>
    <n v="3248"/>
    <s v="Cesar Oliveira"/>
    <x v="0"/>
    <x v="16"/>
    <x v="0"/>
    <n v="15"/>
    <x v="2"/>
    <s v="Yes"/>
    <x v="0"/>
    <s v="Yes"/>
    <n v="20"/>
    <n v="7"/>
    <n v="58"/>
  </r>
  <r>
    <n v="3249"/>
    <s v="Débora Machado"/>
    <x v="2"/>
    <x v="17"/>
    <x v="1"/>
    <n v="10"/>
    <x v="0"/>
    <s v="No"/>
    <x v="1"/>
    <s v="Yes"/>
    <n v="20"/>
    <n v="5"/>
    <n v="25"/>
  </r>
  <r>
    <n v="3250"/>
    <s v="Eduardo Vargas"/>
    <x v="1"/>
    <x v="18"/>
    <x v="0"/>
    <n v="5"/>
    <x v="1"/>
    <s v="No"/>
    <x v="1"/>
    <s v="No"/>
    <n v="0"/>
    <n v="0"/>
    <n v="5"/>
  </r>
  <r>
    <n v="3251"/>
    <s v="Gabriela Santos"/>
    <x v="0"/>
    <x v="19"/>
    <x v="1"/>
    <n v="15"/>
    <x v="0"/>
    <s v="Yes"/>
    <x v="0"/>
    <s v="Yes"/>
    <n v="20"/>
    <n v="3"/>
    <n v="62"/>
  </r>
  <r>
    <n v="3252"/>
    <s v="Henrique Dias"/>
    <x v="2"/>
    <x v="20"/>
    <x v="0"/>
    <n v="10"/>
    <x v="2"/>
    <s v="No"/>
    <x v="1"/>
    <s v="Yes"/>
    <n v="20"/>
    <n v="15"/>
    <n v="15"/>
  </r>
  <r>
    <n v="3253"/>
    <s v="Isabela Moreira"/>
    <x v="1"/>
    <x v="21"/>
    <x v="1"/>
    <n v="5"/>
    <x v="0"/>
    <s v="No"/>
    <x v="1"/>
    <s v="No"/>
    <n v="0"/>
    <n v="1"/>
    <n v="4"/>
  </r>
  <r>
    <n v="3254"/>
    <s v="Joaquim Barbosa"/>
    <x v="0"/>
    <x v="22"/>
    <x v="0"/>
    <n v="15"/>
    <x v="1"/>
    <s v="Yes"/>
    <x v="0"/>
    <s v="Yes"/>
    <n v="20"/>
    <n v="20"/>
    <n v="45"/>
  </r>
  <r>
    <n v="3255"/>
    <s v="Lara Rocha"/>
    <x v="2"/>
    <x v="23"/>
    <x v="1"/>
    <n v="10"/>
    <x v="0"/>
    <s v="No"/>
    <x v="1"/>
    <s v="Yes"/>
    <n v="20"/>
    <n v="10"/>
    <n v="20"/>
  </r>
  <r>
    <n v="3256"/>
    <s v="Matheus Silva"/>
    <x v="1"/>
    <x v="24"/>
    <x v="0"/>
    <n v="5"/>
    <x v="2"/>
    <s v="No"/>
    <x v="1"/>
    <s v="No"/>
    <n v="0"/>
    <n v="0"/>
    <n v="5"/>
  </r>
  <r>
    <n v="3257"/>
    <s v="Nicole Costa"/>
    <x v="0"/>
    <x v="25"/>
    <x v="1"/>
    <n v="15"/>
    <x v="0"/>
    <s v="Yes"/>
    <x v="0"/>
    <s v="Yes"/>
    <n v="20"/>
    <n v="5"/>
    <n v="60"/>
  </r>
  <r>
    <n v="3258"/>
    <s v="Otávio Mendonça"/>
    <x v="2"/>
    <x v="26"/>
    <x v="0"/>
    <n v="10"/>
    <x v="1"/>
    <s v="No"/>
    <x v="1"/>
    <s v="Yes"/>
    <n v="20"/>
    <n v="15"/>
    <n v="15"/>
  </r>
  <r>
    <n v="3259"/>
    <s v="Paula Ferreira"/>
    <x v="1"/>
    <x v="27"/>
    <x v="1"/>
    <n v="5"/>
    <x v="0"/>
    <s v="No"/>
    <x v="1"/>
    <s v="No"/>
    <n v="0"/>
    <n v="1"/>
    <n v="4"/>
  </r>
  <r>
    <n v="3260"/>
    <s v="Raquel Alves"/>
    <x v="0"/>
    <x v="28"/>
    <x v="0"/>
    <n v="15"/>
    <x v="2"/>
    <s v="Yes"/>
    <x v="0"/>
    <s v="Yes"/>
    <n v="20"/>
    <n v="7"/>
    <n v="58"/>
  </r>
  <r>
    <n v="3261"/>
    <s v="Samuel Pires"/>
    <x v="2"/>
    <x v="29"/>
    <x v="1"/>
    <n v="10"/>
    <x v="0"/>
    <s v="No"/>
    <x v="1"/>
    <s v="Yes"/>
    <n v="20"/>
    <n v="10"/>
    <n v="20"/>
  </r>
  <r>
    <n v="3262"/>
    <s v="Tânia Barros"/>
    <x v="1"/>
    <x v="30"/>
    <x v="0"/>
    <n v="5"/>
    <x v="1"/>
    <s v="No"/>
    <x v="1"/>
    <s v="No"/>
    <n v="0"/>
    <n v="0"/>
    <n v="5"/>
  </r>
  <r>
    <n v="3263"/>
    <s v="Vinicius Lima"/>
    <x v="0"/>
    <x v="31"/>
    <x v="1"/>
    <n v="15"/>
    <x v="0"/>
    <s v="Yes"/>
    <x v="0"/>
    <s v="Yes"/>
    <n v="20"/>
    <n v="3"/>
    <n v="62"/>
  </r>
  <r>
    <n v="3264"/>
    <s v="Yasmin Teixeira"/>
    <x v="2"/>
    <x v="32"/>
    <x v="0"/>
    <n v="10"/>
    <x v="2"/>
    <s v="No"/>
    <x v="1"/>
    <s v="Yes"/>
    <n v="20"/>
    <n v="15"/>
    <n v="15"/>
  </r>
  <r>
    <n v="3265"/>
    <s v="Zé Carlos"/>
    <x v="1"/>
    <x v="33"/>
    <x v="1"/>
    <n v="5"/>
    <x v="0"/>
    <s v="No"/>
    <x v="1"/>
    <s v="No"/>
    <n v="0"/>
    <n v="1"/>
    <n v="4"/>
  </r>
  <r>
    <n v="3266"/>
    <s v="Amanda Nogueira"/>
    <x v="1"/>
    <x v="34"/>
    <x v="0"/>
    <n v="5"/>
    <x v="0"/>
    <s v="No"/>
    <x v="1"/>
    <s v="No"/>
    <n v="0"/>
    <n v="0"/>
    <n v="5"/>
  </r>
  <r>
    <n v="3267"/>
    <s v="Bruno Cavalheiro"/>
    <x v="0"/>
    <x v="35"/>
    <x v="1"/>
    <n v="15"/>
    <x v="2"/>
    <s v="Yes"/>
    <x v="0"/>
    <s v="Yes"/>
    <n v="20"/>
    <n v="7"/>
    <n v="58"/>
  </r>
  <r>
    <n v="3268"/>
    <s v="Carla Dias"/>
    <x v="2"/>
    <x v="36"/>
    <x v="0"/>
    <n v="10"/>
    <x v="1"/>
    <s v="No"/>
    <x v="1"/>
    <s v="Yes"/>
    <n v="20"/>
    <n v="10"/>
    <n v="20"/>
  </r>
  <r>
    <n v="3269"/>
    <s v="Diego Fontes"/>
    <x v="1"/>
    <x v="37"/>
    <x v="1"/>
    <n v="5"/>
    <x v="2"/>
    <s v="No"/>
    <x v="1"/>
    <s v="No"/>
    <n v="0"/>
    <n v="1"/>
    <n v="4"/>
  </r>
  <r>
    <n v="3270"/>
    <s v="Eunice Lima"/>
    <x v="0"/>
    <x v="38"/>
    <x v="0"/>
    <n v="15"/>
    <x v="0"/>
    <s v="Yes"/>
    <x v="0"/>
    <s v="Yes"/>
    <n v="20"/>
    <n v="15"/>
    <n v="50"/>
  </r>
  <r>
    <n v="3271"/>
    <s v="Fábio Martins"/>
    <x v="2"/>
    <x v="39"/>
    <x v="1"/>
    <n v="10"/>
    <x v="0"/>
    <s v="No"/>
    <x v="1"/>
    <s v="Yes"/>
    <n v="20"/>
    <n v="5"/>
    <n v="25"/>
  </r>
  <r>
    <n v="3272"/>
    <s v="Gisele Araújo"/>
    <x v="1"/>
    <x v="40"/>
    <x v="0"/>
    <n v="5"/>
    <x v="1"/>
    <s v="No"/>
    <x v="1"/>
    <s v="No"/>
    <n v="0"/>
    <n v="0"/>
    <n v="5"/>
  </r>
  <r>
    <n v="3273"/>
    <s v="Hélio Castro"/>
    <x v="0"/>
    <x v="41"/>
    <x v="1"/>
    <n v="15"/>
    <x v="2"/>
    <s v="Yes"/>
    <x v="0"/>
    <s v="Yes"/>
    <n v="20"/>
    <n v="20"/>
    <n v="45"/>
  </r>
  <r>
    <n v="3274"/>
    <s v="Ingrid Menezes"/>
    <x v="2"/>
    <x v="42"/>
    <x v="0"/>
    <n v="10"/>
    <x v="2"/>
    <s v="No"/>
    <x v="1"/>
    <s v="Yes"/>
    <n v="20"/>
    <n v="12"/>
    <n v="18"/>
  </r>
  <r>
    <n v="3275"/>
    <s v="Jorge Baptista"/>
    <x v="1"/>
    <x v="43"/>
    <x v="1"/>
    <n v="5"/>
    <x v="0"/>
    <s v="No"/>
    <x v="1"/>
    <s v="No"/>
    <n v="0"/>
    <n v="2"/>
    <n v="3"/>
  </r>
  <r>
    <n v="3276"/>
    <s v="Kléber Oliveira"/>
    <x v="0"/>
    <x v="44"/>
    <x v="0"/>
    <n v="15"/>
    <x v="1"/>
    <s v="Yes"/>
    <x v="0"/>
    <s v="Yes"/>
    <n v="20"/>
    <n v="5"/>
    <n v="60"/>
  </r>
  <r>
    <n v="3277"/>
    <s v="Luciana Freitas"/>
    <x v="2"/>
    <x v="45"/>
    <x v="1"/>
    <n v="10"/>
    <x v="0"/>
    <s v="No"/>
    <x v="1"/>
    <s v="Yes"/>
    <n v="20"/>
    <n v="10"/>
    <n v="20"/>
  </r>
  <r>
    <n v="3278"/>
    <s v="Márcia Eller"/>
    <x v="1"/>
    <x v="46"/>
    <x v="0"/>
    <n v="5"/>
    <x v="2"/>
    <s v="No"/>
    <x v="1"/>
    <s v="No"/>
    <n v="0"/>
    <n v="0"/>
    <n v="5"/>
  </r>
  <r>
    <n v="3279"/>
    <s v="Nilo Peçanha"/>
    <x v="0"/>
    <x v="47"/>
    <x v="1"/>
    <n v="15"/>
    <x v="0"/>
    <s v="Yes"/>
    <x v="0"/>
    <s v="Yes"/>
    <n v="20"/>
    <n v="3"/>
    <n v="62"/>
  </r>
  <r>
    <n v="3280"/>
    <s v="Oscar Neves"/>
    <x v="2"/>
    <x v="48"/>
    <x v="0"/>
    <n v="10"/>
    <x v="1"/>
    <s v="No"/>
    <x v="1"/>
    <s v="Yes"/>
    <n v="20"/>
    <n v="15"/>
    <n v="15"/>
  </r>
  <r>
    <n v="3281"/>
    <s v="Patrícia Soares"/>
    <x v="1"/>
    <x v="49"/>
    <x v="1"/>
    <n v="5"/>
    <x v="0"/>
    <s v="No"/>
    <x v="1"/>
    <s v="No"/>
    <n v="0"/>
    <n v="1"/>
    <n v="4"/>
  </r>
  <r>
    <n v="3282"/>
    <s v="Quirino Gonçalves"/>
    <x v="0"/>
    <x v="50"/>
    <x v="0"/>
    <n v="15"/>
    <x v="2"/>
    <s v="Yes"/>
    <x v="0"/>
    <s v="Yes"/>
    <n v="20"/>
    <n v="7"/>
    <n v="58"/>
  </r>
  <r>
    <n v="3283"/>
    <s v="Raul Machado"/>
    <x v="2"/>
    <x v="51"/>
    <x v="1"/>
    <n v="10"/>
    <x v="0"/>
    <s v="No"/>
    <x v="1"/>
    <s v="Yes"/>
    <n v="20"/>
    <n v="10"/>
    <n v="20"/>
  </r>
  <r>
    <n v="3284"/>
    <s v="Sônia Lobo"/>
    <x v="1"/>
    <x v="52"/>
    <x v="0"/>
    <n v="5"/>
    <x v="1"/>
    <s v="No"/>
    <x v="1"/>
    <s v="No"/>
    <n v="0"/>
    <n v="0"/>
    <n v="5"/>
  </r>
  <r>
    <n v="3285"/>
    <s v="Tiago Ramos"/>
    <x v="0"/>
    <x v="53"/>
    <x v="1"/>
    <n v="15"/>
    <x v="0"/>
    <s v="Yes"/>
    <x v="0"/>
    <s v="Yes"/>
    <n v="20"/>
    <n v="20"/>
    <n v="45"/>
  </r>
  <r>
    <n v="3286"/>
    <s v="Ugo Pires"/>
    <x v="2"/>
    <x v="54"/>
    <x v="0"/>
    <n v="10"/>
    <x v="2"/>
    <s v="No"/>
    <x v="1"/>
    <s v="Yes"/>
    <n v="20"/>
    <n v="15"/>
    <n v="15"/>
  </r>
  <r>
    <n v="3287"/>
    <s v="Valéria Nobre"/>
    <x v="1"/>
    <x v="55"/>
    <x v="1"/>
    <n v="5"/>
    <x v="0"/>
    <s v="No"/>
    <x v="1"/>
    <s v="No"/>
    <n v="0"/>
    <n v="1"/>
    <n v="4"/>
  </r>
  <r>
    <n v="3288"/>
    <s v="William Siqueira"/>
    <x v="0"/>
    <x v="56"/>
    <x v="0"/>
    <n v="15"/>
    <x v="1"/>
    <s v="Yes"/>
    <x v="0"/>
    <s v="Yes"/>
    <n v="20"/>
    <n v="3"/>
    <n v="62"/>
  </r>
  <r>
    <n v="3289"/>
    <s v="Xuxa Meneghel"/>
    <x v="2"/>
    <x v="57"/>
    <x v="1"/>
    <n v="10"/>
    <x v="0"/>
    <s v="No"/>
    <x v="1"/>
    <s v="Yes"/>
    <n v="20"/>
    <n v="10"/>
    <n v="20"/>
  </r>
  <r>
    <n v="3290"/>
    <s v="Yara Figueiredo"/>
    <x v="1"/>
    <x v="58"/>
    <x v="0"/>
    <n v="5"/>
    <x v="2"/>
    <s v="No"/>
    <x v="1"/>
    <s v="No"/>
    <n v="0"/>
    <n v="0"/>
    <n v="5"/>
  </r>
  <r>
    <n v="3291"/>
    <s v="Zacarias Alves"/>
    <x v="0"/>
    <x v="59"/>
    <x v="1"/>
    <n v="15"/>
    <x v="0"/>
    <s v="Yes"/>
    <x v="0"/>
    <s v="Yes"/>
    <n v="20"/>
    <n v="5"/>
    <n v="60"/>
  </r>
  <r>
    <n v="3292"/>
    <s v="Amanda Bynes"/>
    <x v="2"/>
    <x v="60"/>
    <x v="0"/>
    <n v="10"/>
    <x v="1"/>
    <s v="No"/>
    <x v="1"/>
    <s v="Yes"/>
    <n v="20"/>
    <n v="15"/>
    <n v="15"/>
  </r>
  <r>
    <n v="3293"/>
    <s v="Bruno Mars"/>
    <x v="1"/>
    <x v="61"/>
    <x v="1"/>
    <n v="5"/>
    <x v="0"/>
    <s v="No"/>
    <x v="1"/>
    <s v="No"/>
    <n v="0"/>
    <n v="1"/>
    <n v="4"/>
  </r>
  <r>
    <n v="3294"/>
    <s v="Carla Bruni"/>
    <x v="0"/>
    <x v="62"/>
    <x v="0"/>
    <n v="15"/>
    <x v="2"/>
    <s v="Yes"/>
    <x v="0"/>
    <s v="Yes"/>
    <n v="20"/>
    <n v="20"/>
    <n v="45"/>
  </r>
  <r>
    <n v="3295"/>
    <s v="Diego Maradona"/>
    <x v="2"/>
    <x v="63"/>
    <x v="1"/>
    <n v="10"/>
    <x v="0"/>
    <s v="No"/>
    <x v="1"/>
    <s v="Yes"/>
    <n v="20"/>
    <n v="5"/>
    <n v="25"/>
  </r>
  <r>
    <n v="3296"/>
    <s v="Estela Marques"/>
    <x v="1"/>
    <x v="64"/>
    <x v="1"/>
    <n v="5"/>
    <x v="0"/>
    <s v="No"/>
    <x v="1"/>
    <s v="No"/>
    <n v="0"/>
    <n v="0"/>
    <n v="5"/>
  </r>
  <r>
    <n v="3297"/>
    <s v="Fábio Nobre"/>
    <x v="0"/>
    <x v="65"/>
    <x v="0"/>
    <n v="15"/>
    <x v="2"/>
    <s v="Yes"/>
    <x v="0"/>
    <s v="Yes"/>
    <n v="20"/>
    <n v="7"/>
    <n v="58"/>
  </r>
  <r>
    <n v="3298"/>
    <s v="Gabriel Oliveira"/>
    <x v="2"/>
    <x v="66"/>
    <x v="1"/>
    <n v="10"/>
    <x v="1"/>
    <s v="No"/>
    <x v="1"/>
    <s v="Yes"/>
    <n v="20"/>
    <n v="10"/>
    <n v="20"/>
  </r>
  <r>
    <n v="3299"/>
    <s v="Helena Santos"/>
    <x v="1"/>
    <x v="67"/>
    <x v="0"/>
    <n v="5"/>
    <x v="2"/>
    <s v="No"/>
    <x v="1"/>
    <s v="No"/>
    <n v="0"/>
    <n v="1"/>
    <n v="4"/>
  </r>
  <r>
    <n v="3300"/>
    <s v="Ivan Carvalho"/>
    <x v="0"/>
    <x v="68"/>
    <x v="1"/>
    <n v="15"/>
    <x v="0"/>
    <s v="Yes"/>
    <x v="0"/>
    <s v="Yes"/>
    <n v="20"/>
    <n v="15"/>
    <n v="50"/>
  </r>
  <r>
    <n v="3301"/>
    <s v="Júlia Ferreira"/>
    <x v="2"/>
    <x v="69"/>
    <x v="0"/>
    <n v="10"/>
    <x v="0"/>
    <s v="No"/>
    <x v="1"/>
    <s v="Yes"/>
    <n v="20"/>
    <n v="5"/>
    <n v="25"/>
  </r>
  <r>
    <n v="3302"/>
    <s v="Karla Alves"/>
    <x v="1"/>
    <x v="70"/>
    <x v="1"/>
    <n v="5"/>
    <x v="1"/>
    <s v="No"/>
    <x v="1"/>
    <s v="No"/>
    <n v="0"/>
    <n v="0"/>
    <n v="5"/>
  </r>
  <r>
    <n v="3303"/>
    <s v="Lucas Mendes"/>
    <x v="0"/>
    <x v="71"/>
    <x v="0"/>
    <n v="15"/>
    <x v="2"/>
    <s v="Yes"/>
    <x v="0"/>
    <s v="Yes"/>
    <n v="20"/>
    <n v="20"/>
    <n v="45"/>
  </r>
  <r>
    <n v="3304"/>
    <s v="Mônica Gomes"/>
    <x v="2"/>
    <x v="72"/>
    <x v="1"/>
    <n v="10"/>
    <x v="2"/>
    <s v="No"/>
    <x v="1"/>
    <s v="Yes"/>
    <n v="20"/>
    <n v="12"/>
    <n v="18"/>
  </r>
  <r>
    <n v="3305"/>
    <s v="Norberto Queiroz"/>
    <x v="1"/>
    <x v="73"/>
    <x v="0"/>
    <n v="5"/>
    <x v="0"/>
    <s v="No"/>
    <x v="1"/>
    <s v="No"/>
    <n v="0"/>
    <n v="2"/>
    <n v="3"/>
  </r>
  <r>
    <n v="3306"/>
    <s v="Otávio Barros"/>
    <x v="0"/>
    <x v="74"/>
    <x v="1"/>
    <n v="15"/>
    <x v="1"/>
    <s v="Yes"/>
    <x v="0"/>
    <s v="Yes"/>
    <n v="20"/>
    <n v="5"/>
    <n v="60"/>
  </r>
  <r>
    <n v="3307"/>
    <s v="Paula Vieira"/>
    <x v="2"/>
    <x v="75"/>
    <x v="0"/>
    <n v="10"/>
    <x v="0"/>
    <s v="No"/>
    <x v="1"/>
    <s v="Yes"/>
    <n v="20"/>
    <n v="10"/>
    <n v="20"/>
  </r>
  <r>
    <n v="3308"/>
    <s v="Quentin Ramos"/>
    <x v="1"/>
    <x v="76"/>
    <x v="1"/>
    <n v="5"/>
    <x v="2"/>
    <s v="No"/>
    <x v="1"/>
    <s v="No"/>
    <n v="0"/>
    <n v="0"/>
    <n v="5"/>
  </r>
  <r>
    <n v="3309"/>
    <s v="Raquel Novaes"/>
    <x v="0"/>
    <x v="77"/>
    <x v="0"/>
    <n v="15"/>
    <x v="0"/>
    <s v="Yes"/>
    <x v="0"/>
    <s v="Yes"/>
    <n v="20"/>
    <n v="3"/>
    <n v="62"/>
  </r>
  <r>
    <n v="3310"/>
    <s v="Samantha Lopes"/>
    <x v="2"/>
    <x v="78"/>
    <x v="1"/>
    <n v="10"/>
    <x v="1"/>
    <s v="No"/>
    <x v="1"/>
    <s v="Yes"/>
    <n v="20"/>
    <n v="15"/>
    <n v="15"/>
  </r>
  <r>
    <n v="3311"/>
    <s v="Tiago Martins"/>
    <x v="1"/>
    <x v="79"/>
    <x v="0"/>
    <n v="5"/>
    <x v="0"/>
    <s v="No"/>
    <x v="1"/>
    <s v="No"/>
    <n v="0"/>
    <n v="1"/>
    <n v="4"/>
  </r>
  <r>
    <n v="3312"/>
    <s v="Ulysses Guimarães"/>
    <x v="0"/>
    <x v="80"/>
    <x v="1"/>
    <n v="15"/>
    <x v="2"/>
    <s v="Yes"/>
    <x v="0"/>
    <s v="Yes"/>
    <n v="20"/>
    <n v="7"/>
    <n v="58"/>
  </r>
  <r>
    <n v="3313"/>
    <s v="Vanessa Silva"/>
    <x v="2"/>
    <x v="81"/>
    <x v="0"/>
    <n v="10"/>
    <x v="0"/>
    <s v="No"/>
    <x v="1"/>
    <s v="Yes"/>
    <n v="20"/>
    <n v="10"/>
    <n v="20"/>
  </r>
  <r>
    <n v="3314"/>
    <s v="William Carneiro"/>
    <x v="1"/>
    <x v="82"/>
    <x v="1"/>
    <n v="5"/>
    <x v="1"/>
    <s v="No"/>
    <x v="1"/>
    <s v="No"/>
    <n v="0"/>
    <n v="0"/>
    <n v="5"/>
  </r>
  <r>
    <n v="3315"/>
    <s v="Ximena Rocha"/>
    <x v="0"/>
    <x v="83"/>
    <x v="0"/>
    <n v="15"/>
    <x v="0"/>
    <s v="Yes"/>
    <x v="0"/>
    <s v="Yes"/>
    <n v="20"/>
    <n v="20"/>
    <n v="45"/>
  </r>
  <r>
    <n v="3316"/>
    <s v="Yasmin Figueiredo"/>
    <x v="2"/>
    <x v="84"/>
    <x v="1"/>
    <n v="10"/>
    <x v="2"/>
    <s v="No"/>
    <x v="1"/>
    <s v="Yes"/>
    <n v="20"/>
    <n v="15"/>
    <n v="15"/>
  </r>
  <r>
    <n v="3317"/>
    <s v="Zara Cunha"/>
    <x v="1"/>
    <x v="85"/>
    <x v="0"/>
    <n v="5"/>
    <x v="0"/>
    <s v="No"/>
    <x v="1"/>
    <s v="No"/>
    <n v="0"/>
    <n v="1"/>
    <n v="4"/>
  </r>
  <r>
    <n v="3318"/>
    <s v="Alan Teixeira"/>
    <x v="0"/>
    <x v="86"/>
    <x v="1"/>
    <n v="15"/>
    <x v="1"/>
    <s v="Yes"/>
    <x v="0"/>
    <s v="Yes"/>
    <n v="20"/>
    <n v="3"/>
    <n v="62"/>
  </r>
  <r>
    <n v="3319"/>
    <s v="Bárbara Oliveira"/>
    <x v="2"/>
    <x v="87"/>
    <x v="0"/>
    <n v="10"/>
    <x v="0"/>
    <s v="No"/>
    <x v="1"/>
    <s v="Yes"/>
    <n v="20"/>
    <n v="10"/>
    <n v="20"/>
  </r>
  <r>
    <n v="3320"/>
    <s v="Carlos Junqueira"/>
    <x v="1"/>
    <x v="88"/>
    <x v="1"/>
    <n v="5"/>
    <x v="2"/>
    <s v="No"/>
    <x v="1"/>
    <s v="No"/>
    <n v="0"/>
    <n v="0"/>
    <n v="5"/>
  </r>
  <r>
    <n v="3321"/>
    <s v="Daniela Moura"/>
    <x v="0"/>
    <x v="89"/>
    <x v="0"/>
    <n v="15"/>
    <x v="0"/>
    <s v="Yes"/>
    <x v="0"/>
    <s v="Yes"/>
    <n v="20"/>
    <n v="5"/>
    <n v="60"/>
  </r>
  <r>
    <n v="3322"/>
    <s v="Eduardo Lima"/>
    <x v="2"/>
    <x v="90"/>
    <x v="1"/>
    <n v="10"/>
    <x v="1"/>
    <s v="No"/>
    <x v="1"/>
    <s v="Yes"/>
    <n v="20"/>
    <n v="15"/>
    <n v="15"/>
  </r>
  <r>
    <n v="3323"/>
    <s v="Fabiana Araújo"/>
    <x v="1"/>
    <x v="91"/>
    <x v="0"/>
    <n v="5"/>
    <x v="0"/>
    <s v="No"/>
    <x v="1"/>
    <s v="No"/>
    <n v="0"/>
    <n v="1"/>
    <n v="4"/>
  </r>
  <r>
    <n v="3324"/>
    <s v="Geraldo Ribeiro"/>
    <x v="0"/>
    <x v="92"/>
    <x v="1"/>
    <n v="15"/>
    <x v="2"/>
    <s v="Yes"/>
    <x v="0"/>
    <s v="Yes"/>
    <n v="20"/>
    <n v="20"/>
    <n v="45"/>
  </r>
  <r>
    <n v="3325"/>
    <s v="Héctor Vargas"/>
    <x v="2"/>
    <x v="93"/>
    <x v="0"/>
    <n v="10"/>
    <x v="2"/>
    <s v="No"/>
    <x v="1"/>
    <s v="Yes"/>
    <n v="20"/>
    <n v="15"/>
    <n v="15"/>
  </r>
  <r>
    <n v="3326"/>
    <s v="Isabela Fonseca"/>
    <x v="1"/>
    <x v="94"/>
    <x v="1"/>
    <n v="5"/>
    <x v="1"/>
    <s v="No"/>
    <x v="1"/>
    <s v="No"/>
    <n v="0"/>
    <n v="0"/>
    <n v="5"/>
  </r>
  <r>
    <n v="3327"/>
    <s v="João Pedro Almeida"/>
    <x v="0"/>
    <x v="95"/>
    <x v="0"/>
    <n v="15"/>
    <x v="0"/>
    <s v="Yes"/>
    <x v="0"/>
    <s v="Yes"/>
    <n v="20"/>
    <n v="7"/>
    <n v="58"/>
  </r>
  <r>
    <n v="3328"/>
    <s v="Klara Costa"/>
    <x v="2"/>
    <x v="96"/>
    <x v="1"/>
    <n v="10"/>
    <x v="1"/>
    <s v="No"/>
    <x v="1"/>
    <s v="Yes"/>
    <n v="20"/>
    <n v="10"/>
    <n v="20"/>
  </r>
  <r>
    <n v="3329"/>
    <s v="Luciana Mendes"/>
    <x v="1"/>
    <x v="97"/>
    <x v="0"/>
    <n v="5"/>
    <x v="2"/>
    <s v="No"/>
    <x v="1"/>
    <s v="No"/>
    <n v="0"/>
    <n v="1"/>
    <n v="4"/>
  </r>
  <r>
    <n v="3330"/>
    <s v="Marcelo Gouveia"/>
    <x v="0"/>
    <x v="98"/>
    <x v="1"/>
    <n v="15"/>
    <x v="0"/>
    <s v="Yes"/>
    <x v="0"/>
    <s v="Yes"/>
    <n v="20"/>
    <n v="15"/>
    <n v="50"/>
  </r>
  <r>
    <n v="3331"/>
    <s v="Nívea Borges"/>
    <x v="2"/>
    <x v="99"/>
    <x v="0"/>
    <n v="10"/>
    <x v="0"/>
    <s v="No"/>
    <x v="1"/>
    <s v="Yes"/>
    <n v="20"/>
    <n v="5"/>
    <n v="25"/>
  </r>
  <r>
    <n v="3332"/>
    <s v="Oscar Nogueira"/>
    <x v="1"/>
    <x v="100"/>
    <x v="1"/>
    <n v="5"/>
    <x v="1"/>
    <s v="No"/>
    <x v="1"/>
    <s v="No"/>
    <n v="0"/>
    <n v="0"/>
    <n v="5"/>
  </r>
  <r>
    <n v="3333"/>
    <s v="Patrícia Alves"/>
    <x v="0"/>
    <x v="101"/>
    <x v="0"/>
    <n v="15"/>
    <x v="2"/>
    <s v="Yes"/>
    <x v="0"/>
    <s v="Yes"/>
    <n v="20"/>
    <n v="20"/>
    <n v="45"/>
  </r>
  <r>
    <n v="3334"/>
    <s v="Rafaela Silva"/>
    <x v="2"/>
    <x v="102"/>
    <x v="1"/>
    <n v="10"/>
    <x v="2"/>
    <s v="No"/>
    <x v="1"/>
    <s v="Yes"/>
    <n v="20"/>
    <n v="12"/>
    <n v="18"/>
  </r>
  <r>
    <n v="3335"/>
    <s v="Samantha Moraes"/>
    <x v="1"/>
    <x v="103"/>
    <x v="0"/>
    <n v="5"/>
    <x v="0"/>
    <s v="No"/>
    <x v="1"/>
    <s v="No"/>
    <n v="0"/>
    <n v="2"/>
    <n v="3"/>
  </r>
  <r>
    <n v="3336"/>
    <s v="Tatiana Rocha"/>
    <x v="1"/>
    <x v="104"/>
    <x v="0"/>
    <n v="5"/>
    <x v="0"/>
    <s v="No"/>
    <x v="1"/>
    <s v="No"/>
    <n v="0"/>
    <n v="0"/>
    <n v="5"/>
  </r>
  <r>
    <n v="3337"/>
    <s v="Ulisses Tavares"/>
    <x v="0"/>
    <x v="105"/>
    <x v="1"/>
    <n v="15"/>
    <x v="2"/>
    <s v="Yes"/>
    <x v="0"/>
    <s v="Yes"/>
    <n v="20"/>
    <n v="7"/>
    <n v="58"/>
  </r>
  <r>
    <n v="3338"/>
    <s v="Víctor Lemos"/>
    <x v="2"/>
    <x v="106"/>
    <x v="0"/>
    <n v="10"/>
    <x v="1"/>
    <s v="No"/>
    <x v="1"/>
    <s v="Yes"/>
    <n v="20"/>
    <n v="10"/>
    <n v="20"/>
  </r>
  <r>
    <n v="3339"/>
    <s v="Wilma Barros"/>
    <x v="1"/>
    <x v="107"/>
    <x v="1"/>
    <n v="5"/>
    <x v="2"/>
    <s v="No"/>
    <x v="1"/>
    <s v="No"/>
    <n v="0"/>
    <n v="1"/>
    <n v="4"/>
  </r>
  <r>
    <n v="3340"/>
    <s v="Xavier Nascimento"/>
    <x v="0"/>
    <x v="108"/>
    <x v="0"/>
    <n v="15"/>
    <x v="0"/>
    <s v="Yes"/>
    <x v="0"/>
    <s v="Yes"/>
    <n v="20"/>
    <n v="15"/>
    <n v="50"/>
  </r>
  <r>
    <n v="3341"/>
    <s v="Yago Pereira"/>
    <x v="2"/>
    <x v="109"/>
    <x v="1"/>
    <n v="10"/>
    <x v="0"/>
    <s v="No"/>
    <x v="1"/>
    <s v="Yes"/>
    <n v="20"/>
    <n v="5"/>
    <n v="25"/>
  </r>
  <r>
    <n v="3342"/>
    <s v="Zilda Ferreira"/>
    <x v="1"/>
    <x v="110"/>
    <x v="0"/>
    <n v="5"/>
    <x v="1"/>
    <s v="No"/>
    <x v="1"/>
    <s v="No"/>
    <n v="0"/>
    <n v="0"/>
    <n v="5"/>
  </r>
  <r>
    <n v="3343"/>
    <s v="Amanda Lopes"/>
    <x v="0"/>
    <x v="111"/>
    <x v="1"/>
    <n v="15"/>
    <x v="2"/>
    <s v="Yes"/>
    <x v="0"/>
    <s v="Yes"/>
    <n v="20"/>
    <n v="20"/>
    <n v="45"/>
  </r>
  <r>
    <n v="3344"/>
    <s v="Bruno Miranda"/>
    <x v="2"/>
    <x v="112"/>
    <x v="0"/>
    <n v="10"/>
    <x v="2"/>
    <s v="No"/>
    <x v="1"/>
    <s v="Yes"/>
    <n v="20"/>
    <n v="12"/>
    <n v="18"/>
  </r>
  <r>
    <n v="3345"/>
    <s v="Célia Torres"/>
    <x v="1"/>
    <x v="113"/>
    <x v="1"/>
    <n v="5"/>
    <x v="0"/>
    <s v="No"/>
    <x v="1"/>
    <s v="No"/>
    <n v="0"/>
    <n v="2"/>
    <n v="3"/>
  </r>
  <r>
    <n v="3346"/>
    <s v="Diogo Souza"/>
    <x v="0"/>
    <x v="114"/>
    <x v="0"/>
    <n v="15"/>
    <x v="1"/>
    <s v="Yes"/>
    <x v="0"/>
    <s v="Yes"/>
    <n v="20"/>
    <n v="5"/>
    <n v="60"/>
  </r>
  <r>
    <n v="3347"/>
    <s v="Elisa Castro"/>
    <x v="2"/>
    <x v="115"/>
    <x v="1"/>
    <n v="10"/>
    <x v="0"/>
    <s v="No"/>
    <x v="1"/>
    <s v="Yes"/>
    <n v="20"/>
    <n v="10"/>
    <n v="20"/>
  </r>
  <r>
    <n v="3348"/>
    <s v="Fátima Lima"/>
    <x v="1"/>
    <x v="116"/>
    <x v="0"/>
    <n v="5"/>
    <x v="2"/>
    <s v="No"/>
    <x v="1"/>
    <s v="No"/>
    <n v="0"/>
    <n v="0"/>
    <n v="5"/>
  </r>
  <r>
    <n v="3349"/>
    <s v="Geraldo Ribeiro"/>
    <x v="0"/>
    <x v="117"/>
    <x v="1"/>
    <n v="15"/>
    <x v="0"/>
    <s v="Yes"/>
    <x v="0"/>
    <s v="Yes"/>
    <n v="20"/>
    <n v="3"/>
    <n v="62"/>
  </r>
  <r>
    <n v="3350"/>
    <s v="Hélio Martins"/>
    <x v="2"/>
    <x v="118"/>
    <x v="0"/>
    <n v="10"/>
    <x v="1"/>
    <s v="No"/>
    <x v="1"/>
    <s v="Yes"/>
    <n v="20"/>
    <n v="15"/>
    <n v="15"/>
  </r>
  <r>
    <n v="3351"/>
    <s v="Íris Santos"/>
    <x v="1"/>
    <x v="119"/>
    <x v="1"/>
    <n v="5"/>
    <x v="0"/>
    <s v="No"/>
    <x v="1"/>
    <s v="No"/>
    <n v="0"/>
    <n v="1"/>
    <n v="4"/>
  </r>
  <r>
    <n v="3352"/>
    <s v="João Marcelo"/>
    <x v="0"/>
    <x v="120"/>
    <x v="0"/>
    <n v="15"/>
    <x v="2"/>
    <s v="Yes"/>
    <x v="0"/>
    <s v="Yes"/>
    <n v="20"/>
    <n v="7"/>
    <n v="58"/>
  </r>
  <r>
    <n v="3353"/>
    <s v="Larissa Gomes"/>
    <x v="2"/>
    <x v="121"/>
    <x v="1"/>
    <n v="10"/>
    <x v="0"/>
    <s v="No"/>
    <x v="1"/>
    <s v="Yes"/>
    <n v="20"/>
    <n v="10"/>
    <n v="20"/>
  </r>
  <r>
    <n v="3354"/>
    <s v="Márcio Silva"/>
    <x v="1"/>
    <x v="122"/>
    <x v="0"/>
    <n v="5"/>
    <x v="1"/>
    <s v="No"/>
    <x v="1"/>
    <s v="No"/>
    <n v="0"/>
    <n v="0"/>
    <n v="5"/>
  </r>
  <r>
    <n v="3355"/>
    <s v="Nadia Costa"/>
    <x v="0"/>
    <x v="123"/>
    <x v="1"/>
    <n v="15"/>
    <x v="0"/>
    <s v="Yes"/>
    <x v="0"/>
    <s v="Yes"/>
    <n v="20"/>
    <n v="20"/>
    <n v="45"/>
  </r>
  <r>
    <n v="3356"/>
    <s v="Oscar Almeida"/>
    <x v="2"/>
    <x v="124"/>
    <x v="0"/>
    <n v="10"/>
    <x v="2"/>
    <s v="No"/>
    <x v="1"/>
    <s v="Yes"/>
    <n v="20"/>
    <n v="15"/>
    <n v="15"/>
  </r>
  <r>
    <n v="3357"/>
    <s v="Patricia Soares"/>
    <x v="1"/>
    <x v="125"/>
    <x v="1"/>
    <n v="5"/>
    <x v="0"/>
    <s v="No"/>
    <x v="1"/>
    <s v="No"/>
    <n v="0"/>
    <n v="1"/>
    <n v="4"/>
  </r>
  <r>
    <n v="3358"/>
    <s v="Quênia Barros"/>
    <x v="0"/>
    <x v="126"/>
    <x v="0"/>
    <n v="15"/>
    <x v="1"/>
    <s v="Yes"/>
    <x v="0"/>
    <s v="Yes"/>
    <n v="20"/>
    <n v="3"/>
    <n v="62"/>
  </r>
  <r>
    <n v="3359"/>
    <s v="Rafael Torres"/>
    <x v="2"/>
    <x v="127"/>
    <x v="1"/>
    <n v="10"/>
    <x v="0"/>
    <s v="No"/>
    <x v="1"/>
    <s v="Yes"/>
    <n v="20"/>
    <n v="10"/>
    <n v="20"/>
  </r>
  <r>
    <n v="3360"/>
    <s v="Silvia Nascimento"/>
    <x v="1"/>
    <x v="128"/>
    <x v="0"/>
    <n v="5"/>
    <x v="2"/>
    <s v="No"/>
    <x v="1"/>
    <s v="No"/>
    <n v="0"/>
    <n v="0"/>
    <n v="5"/>
  </r>
  <r>
    <n v="3361"/>
    <s v="Tiago Mendes"/>
    <x v="0"/>
    <x v="129"/>
    <x v="1"/>
    <n v="15"/>
    <x v="0"/>
    <s v="Yes"/>
    <x v="0"/>
    <s v="Yes"/>
    <n v="20"/>
    <n v="15"/>
    <n v="50"/>
  </r>
  <r>
    <n v="3362"/>
    <s v="Ursula Silva"/>
    <x v="2"/>
    <x v="130"/>
    <x v="0"/>
    <n v="10"/>
    <x v="1"/>
    <s v="No"/>
    <x v="1"/>
    <s v="Yes"/>
    <n v="20"/>
    <n v="15"/>
    <n v="15"/>
  </r>
  <r>
    <n v="3363"/>
    <s v="Vanessa Moraes"/>
    <x v="1"/>
    <x v="131"/>
    <x v="1"/>
    <n v="5"/>
    <x v="0"/>
    <s v="No"/>
    <x v="1"/>
    <s v="No"/>
    <n v="0"/>
    <n v="1"/>
    <n v="4"/>
  </r>
  <r>
    <n v="3364"/>
    <s v="Waldir Junior"/>
    <x v="0"/>
    <x v="132"/>
    <x v="0"/>
    <n v="15"/>
    <x v="2"/>
    <s v="Yes"/>
    <x v="0"/>
    <s v="Yes"/>
    <n v="20"/>
    <n v="7"/>
    <n v="58"/>
  </r>
  <r>
    <n v="3365"/>
    <s v="Xavier Lopes"/>
    <x v="2"/>
    <x v="133"/>
    <x v="1"/>
    <n v="10"/>
    <x v="0"/>
    <s v="No"/>
    <x v="1"/>
    <s v="Yes"/>
    <n v="20"/>
    <n v="10"/>
    <n v="20"/>
  </r>
  <r>
    <n v="3366"/>
    <s v="Yolanda Freitas"/>
    <x v="1"/>
    <x v="134"/>
    <x v="0"/>
    <n v="5"/>
    <x v="0"/>
    <s v="No"/>
    <x v="1"/>
    <s v="No"/>
    <n v="0"/>
    <n v="0"/>
    <n v="5"/>
  </r>
  <r>
    <n v="3367"/>
    <s v="Zacarias Nunes"/>
    <x v="0"/>
    <x v="135"/>
    <x v="1"/>
    <n v="15"/>
    <x v="2"/>
    <s v="Yes"/>
    <x v="0"/>
    <s v="Yes"/>
    <n v="20"/>
    <n v="7"/>
    <n v="58"/>
  </r>
  <r>
    <n v="3368"/>
    <s v="Ana Clara Barreto"/>
    <x v="2"/>
    <x v="136"/>
    <x v="0"/>
    <n v="10"/>
    <x v="1"/>
    <s v="No"/>
    <x v="1"/>
    <s v="Yes"/>
    <n v="20"/>
    <n v="10"/>
    <n v="20"/>
  </r>
  <r>
    <n v="3369"/>
    <s v="Bruno Henrique"/>
    <x v="1"/>
    <x v="137"/>
    <x v="1"/>
    <n v="5"/>
    <x v="2"/>
    <s v="No"/>
    <x v="1"/>
    <s v="No"/>
    <n v="0"/>
    <n v="1"/>
    <n v="4"/>
  </r>
  <r>
    <n v="3370"/>
    <s v="Carlos Eduardo"/>
    <x v="0"/>
    <x v="138"/>
    <x v="0"/>
    <n v="15"/>
    <x v="0"/>
    <s v="Yes"/>
    <x v="0"/>
    <s v="Yes"/>
    <n v="20"/>
    <n v="15"/>
    <n v="50"/>
  </r>
  <r>
    <n v="3371"/>
    <s v="Débora Lima"/>
    <x v="2"/>
    <x v="139"/>
    <x v="1"/>
    <n v="10"/>
    <x v="0"/>
    <s v="No"/>
    <x v="1"/>
    <s v="Yes"/>
    <n v="20"/>
    <n v="5"/>
    <n v="25"/>
  </r>
  <r>
    <n v="3372"/>
    <s v="Elisa Neves"/>
    <x v="1"/>
    <x v="140"/>
    <x v="0"/>
    <n v="5"/>
    <x v="1"/>
    <s v="No"/>
    <x v="1"/>
    <s v="No"/>
    <n v="0"/>
    <n v="0"/>
    <n v="5"/>
  </r>
  <r>
    <n v="3373"/>
    <s v="Fabiano Gomes"/>
    <x v="0"/>
    <x v="141"/>
    <x v="1"/>
    <n v="15"/>
    <x v="2"/>
    <s v="Yes"/>
    <x v="0"/>
    <s v="Yes"/>
    <n v="20"/>
    <n v="20"/>
    <n v="45"/>
  </r>
  <r>
    <n v="3374"/>
    <s v="Gisele Oliveira"/>
    <x v="2"/>
    <x v="142"/>
    <x v="0"/>
    <n v="10"/>
    <x v="2"/>
    <s v="No"/>
    <x v="1"/>
    <s v="Yes"/>
    <n v="20"/>
    <n v="12"/>
    <n v="18"/>
  </r>
  <r>
    <n v="3375"/>
    <s v="Héctor Silva"/>
    <x v="1"/>
    <x v="143"/>
    <x v="1"/>
    <n v="5"/>
    <x v="0"/>
    <s v="No"/>
    <x v="1"/>
    <s v="No"/>
    <n v="0"/>
    <n v="2"/>
    <n v="3"/>
  </r>
  <r>
    <n v="3376"/>
    <s v="Igor Martins"/>
    <x v="0"/>
    <x v="144"/>
    <x v="0"/>
    <n v="15"/>
    <x v="1"/>
    <s v="Yes"/>
    <x v="0"/>
    <s v="Yes"/>
    <n v="20"/>
    <n v="5"/>
    <n v="60"/>
  </r>
  <r>
    <n v="3377"/>
    <s v="Joana Figueiredo"/>
    <x v="2"/>
    <x v="145"/>
    <x v="1"/>
    <n v="10"/>
    <x v="0"/>
    <s v="No"/>
    <x v="1"/>
    <s v="Yes"/>
    <n v="20"/>
    <n v="10"/>
    <n v="20"/>
  </r>
  <r>
    <n v="3378"/>
    <s v="Kleber Machado"/>
    <x v="1"/>
    <x v="146"/>
    <x v="0"/>
    <n v="5"/>
    <x v="2"/>
    <s v="No"/>
    <x v="1"/>
    <s v="No"/>
    <n v="0"/>
    <n v="0"/>
    <n v="5"/>
  </r>
  <r>
    <n v="3379"/>
    <s v="Luciana Santos"/>
    <x v="0"/>
    <x v="147"/>
    <x v="1"/>
    <n v="15"/>
    <x v="0"/>
    <s v="Yes"/>
    <x v="0"/>
    <s v="Yes"/>
    <n v="20"/>
    <n v="3"/>
    <n v="62"/>
  </r>
  <r>
    <n v="3380"/>
    <s v="Marcos Teixeira"/>
    <x v="2"/>
    <x v="148"/>
    <x v="0"/>
    <n v="10"/>
    <x v="1"/>
    <s v="No"/>
    <x v="1"/>
    <s v="Yes"/>
    <n v="20"/>
    <n v="15"/>
    <n v="15"/>
  </r>
  <r>
    <n v="3381"/>
    <s v="Natalia Costa"/>
    <x v="1"/>
    <x v="149"/>
    <x v="1"/>
    <n v="5"/>
    <x v="0"/>
    <s v="No"/>
    <x v="1"/>
    <s v="No"/>
    <n v="0"/>
    <n v="1"/>
    <n v="4"/>
  </r>
  <r>
    <n v="3382"/>
    <s v="Oscar Ribeiro"/>
    <x v="0"/>
    <x v="150"/>
    <x v="0"/>
    <n v="15"/>
    <x v="2"/>
    <s v="Yes"/>
    <x v="0"/>
    <s v="Yes"/>
    <n v="20"/>
    <n v="7"/>
    <n v="58"/>
  </r>
  <r>
    <n v="3383"/>
    <s v="Patricia Almeida"/>
    <x v="2"/>
    <x v="151"/>
    <x v="1"/>
    <n v="10"/>
    <x v="0"/>
    <s v="No"/>
    <x v="1"/>
    <s v="Yes"/>
    <n v="20"/>
    <n v="10"/>
    <n v="20"/>
  </r>
  <r>
    <n v="3384"/>
    <s v="Quirino Junior"/>
    <x v="1"/>
    <x v="152"/>
    <x v="0"/>
    <n v="5"/>
    <x v="1"/>
    <s v="No"/>
    <x v="1"/>
    <s v="No"/>
    <n v="0"/>
    <n v="0"/>
    <n v="5"/>
  </r>
  <r>
    <n v="3385"/>
    <s v="Renata Machado"/>
    <x v="0"/>
    <x v="153"/>
    <x v="1"/>
    <n v="15"/>
    <x v="0"/>
    <s v="Yes"/>
    <x v="0"/>
    <s v="Yes"/>
    <n v="20"/>
    <n v="20"/>
    <n v="45"/>
  </r>
  <r>
    <n v="3386"/>
    <s v="Sônia Alves"/>
    <x v="2"/>
    <x v="154"/>
    <x v="0"/>
    <n v="10"/>
    <x v="2"/>
    <s v="No"/>
    <x v="1"/>
    <s v="Yes"/>
    <n v="20"/>
    <n v="15"/>
    <n v="15"/>
  </r>
  <r>
    <n v="3387"/>
    <s v="Tiago Nunes"/>
    <x v="1"/>
    <x v="155"/>
    <x v="1"/>
    <n v="5"/>
    <x v="0"/>
    <s v="No"/>
    <x v="1"/>
    <s v="No"/>
    <n v="0"/>
    <n v="1"/>
    <n v="4"/>
  </r>
  <r>
    <n v="3388"/>
    <s v="Ulysses Pereira"/>
    <x v="0"/>
    <x v="156"/>
    <x v="0"/>
    <n v="15"/>
    <x v="1"/>
    <s v="Yes"/>
    <x v="0"/>
    <s v="Yes"/>
    <n v="20"/>
    <n v="3"/>
    <n v="62"/>
  </r>
  <r>
    <n v="3389"/>
    <s v="Vanessa Lima"/>
    <x v="2"/>
    <x v="157"/>
    <x v="1"/>
    <n v="10"/>
    <x v="0"/>
    <s v="No"/>
    <x v="1"/>
    <s v="Yes"/>
    <n v="20"/>
    <n v="10"/>
    <n v="20"/>
  </r>
  <r>
    <n v="3390"/>
    <s v="Wagner Santos"/>
    <x v="1"/>
    <x v="158"/>
    <x v="0"/>
    <n v="5"/>
    <x v="2"/>
    <s v="No"/>
    <x v="1"/>
    <s v="No"/>
    <n v="0"/>
    <n v="0"/>
    <n v="5"/>
  </r>
  <r>
    <n v="3391"/>
    <s v="Xuxa Meneghel"/>
    <x v="0"/>
    <x v="159"/>
    <x v="1"/>
    <n v="15"/>
    <x v="0"/>
    <s v="Yes"/>
    <x v="0"/>
    <s v="Yes"/>
    <n v="20"/>
    <n v="15"/>
    <n v="50"/>
  </r>
  <r>
    <n v="3392"/>
    <s v="Yasmin Silva"/>
    <x v="2"/>
    <x v="160"/>
    <x v="0"/>
    <n v="10"/>
    <x v="1"/>
    <s v="No"/>
    <x v="1"/>
    <s v="Yes"/>
    <n v="20"/>
    <n v="15"/>
    <n v="15"/>
  </r>
  <r>
    <n v="3393"/>
    <s v="Zacarias de Souza"/>
    <x v="1"/>
    <x v="161"/>
    <x v="1"/>
    <n v="5"/>
    <x v="0"/>
    <s v="No"/>
    <x v="1"/>
    <s v="No"/>
    <n v="0"/>
    <n v="1"/>
    <n v="4"/>
  </r>
  <r>
    <n v="3394"/>
    <s v="André Lima"/>
    <x v="0"/>
    <x v="162"/>
    <x v="0"/>
    <n v="15"/>
    <x v="2"/>
    <s v="Yes"/>
    <x v="0"/>
    <s v="Yes"/>
    <n v="20"/>
    <n v="7"/>
    <n v="58"/>
  </r>
  <r>
    <n v="3395"/>
    <s v="Bianca Freitas"/>
    <x v="2"/>
    <x v="163"/>
    <x v="1"/>
    <n v="10"/>
    <x v="0"/>
    <s v="No"/>
    <x v="1"/>
    <s v="Yes"/>
    <n v="20"/>
    <n v="10"/>
    <n v="20"/>
  </r>
  <r>
    <n v="3396"/>
    <s v="Caio Mendes"/>
    <x v="1"/>
    <x v="164"/>
    <x v="0"/>
    <n v="5"/>
    <x v="1"/>
    <s v="No"/>
    <x v="1"/>
    <s v="No"/>
    <n v="0"/>
    <n v="0"/>
    <n v="5"/>
  </r>
  <r>
    <n v="3397"/>
    <s v="Daniela Moura"/>
    <x v="0"/>
    <x v="165"/>
    <x v="1"/>
    <n v="15"/>
    <x v="0"/>
    <s v="Yes"/>
    <x v="0"/>
    <s v="Yes"/>
    <n v="20"/>
    <n v="20"/>
    <n v="45"/>
  </r>
  <r>
    <n v="3398"/>
    <s v="Eduardo Costa"/>
    <x v="2"/>
    <x v="166"/>
    <x v="0"/>
    <n v="10"/>
    <x v="2"/>
    <s v="No"/>
    <x v="1"/>
    <s v="Yes"/>
    <n v="20"/>
    <n v="15"/>
    <n v="15"/>
  </r>
  <r>
    <n v="3399"/>
    <s v="Fernanda Gomes"/>
    <x v="1"/>
    <x v="167"/>
    <x v="1"/>
    <n v="5"/>
    <x v="0"/>
    <s v="No"/>
    <x v="1"/>
    <s v="No"/>
    <n v="0"/>
    <n v="1"/>
    <n v="4"/>
  </r>
  <r>
    <n v="3400"/>
    <s v="Guilherme Souza"/>
    <x v="0"/>
    <x v="168"/>
    <x v="0"/>
    <n v="15"/>
    <x v="1"/>
    <s v="Yes"/>
    <x v="0"/>
    <s v="Yes"/>
    <n v="20"/>
    <n v="5"/>
    <n v="60"/>
  </r>
  <r>
    <n v="3401"/>
    <s v="Helena Ribeiro"/>
    <x v="2"/>
    <x v="169"/>
    <x v="1"/>
    <n v="10"/>
    <x v="0"/>
    <s v="No"/>
    <x v="1"/>
    <s v="Yes"/>
    <n v="20"/>
    <n v="10"/>
    <n v="20"/>
  </r>
  <r>
    <n v="3402"/>
    <s v="Igor Santos"/>
    <x v="1"/>
    <x v="170"/>
    <x v="0"/>
    <n v="5"/>
    <x v="2"/>
    <s v="No"/>
    <x v="1"/>
    <s v="No"/>
    <n v="0"/>
    <n v="0"/>
    <n v="5"/>
  </r>
  <r>
    <n v="3403"/>
    <s v="João Carvalho"/>
    <x v="0"/>
    <x v="171"/>
    <x v="1"/>
    <n v="15"/>
    <x v="0"/>
    <s v="Yes"/>
    <x v="0"/>
    <s v="Yes"/>
    <n v="20"/>
    <n v="3"/>
    <n v="62"/>
  </r>
  <r>
    <n v="3404"/>
    <s v="Klara Fagundes"/>
    <x v="2"/>
    <x v="172"/>
    <x v="0"/>
    <n v="10"/>
    <x v="1"/>
    <s v="No"/>
    <x v="1"/>
    <s v="Yes"/>
    <n v="20"/>
    <n v="15"/>
    <n v="15"/>
  </r>
  <r>
    <n v="3405"/>
    <s v="Lúcia Mendonça"/>
    <x v="1"/>
    <x v="173"/>
    <x v="1"/>
    <n v="5"/>
    <x v="0"/>
    <s v="No"/>
    <x v="1"/>
    <s v="No"/>
    <n v="0"/>
    <n v="1"/>
    <n v="4"/>
  </r>
  <r>
    <n v="3406"/>
    <s v="Marcelo Novaes"/>
    <x v="1"/>
    <x v="174"/>
    <x v="0"/>
    <n v="5"/>
    <x v="0"/>
    <s v="No"/>
    <x v="1"/>
    <s v="No"/>
    <n v="0"/>
    <n v="0"/>
    <n v="5"/>
  </r>
  <r>
    <n v="3407"/>
    <s v="Nina Pacheco"/>
    <x v="0"/>
    <x v="175"/>
    <x v="1"/>
    <n v="15"/>
    <x v="2"/>
    <s v="Yes"/>
    <x v="0"/>
    <s v="Yes"/>
    <n v="20"/>
    <n v="7"/>
    <n v="58"/>
  </r>
  <r>
    <n v="3408"/>
    <s v="Olívia Rios"/>
    <x v="2"/>
    <x v="176"/>
    <x v="0"/>
    <n v="10"/>
    <x v="1"/>
    <s v="No"/>
    <x v="1"/>
    <s v="Yes"/>
    <n v="20"/>
    <n v="10"/>
    <n v="20"/>
  </r>
  <r>
    <n v="3409"/>
    <s v="Paulo Quintana"/>
    <x v="1"/>
    <x v="177"/>
    <x v="1"/>
    <n v="5"/>
    <x v="2"/>
    <s v="No"/>
    <x v="1"/>
    <s v="No"/>
    <n v="0"/>
    <n v="1"/>
    <n v="4"/>
  </r>
  <r>
    <n v="3410"/>
    <s v="Raquel Domingos"/>
    <x v="0"/>
    <x v="178"/>
    <x v="0"/>
    <n v="15"/>
    <x v="0"/>
    <s v="Yes"/>
    <x v="0"/>
    <s v="Yes"/>
    <n v="20"/>
    <n v="15"/>
    <n v="50"/>
  </r>
  <r>
    <n v="3411"/>
    <s v="Samuel Viana"/>
    <x v="2"/>
    <x v="179"/>
    <x v="1"/>
    <n v="10"/>
    <x v="0"/>
    <s v="No"/>
    <x v="1"/>
    <s v="Yes"/>
    <n v="20"/>
    <n v="5"/>
    <n v="25"/>
  </r>
  <r>
    <n v="3412"/>
    <s v="Tatiane Rocha"/>
    <x v="1"/>
    <x v="180"/>
    <x v="0"/>
    <n v="5"/>
    <x v="1"/>
    <s v="No"/>
    <x v="1"/>
    <s v="No"/>
    <n v="0"/>
    <n v="0"/>
    <n v="5"/>
  </r>
  <r>
    <n v="3413"/>
    <s v="Ulysses Farias"/>
    <x v="0"/>
    <x v="181"/>
    <x v="1"/>
    <n v="15"/>
    <x v="2"/>
    <s v="Yes"/>
    <x v="0"/>
    <s v="Yes"/>
    <n v="20"/>
    <n v="20"/>
    <n v="45"/>
  </r>
  <r>
    <n v="3414"/>
    <s v="Vanessa Moreira"/>
    <x v="2"/>
    <x v="182"/>
    <x v="0"/>
    <n v="10"/>
    <x v="2"/>
    <s v="No"/>
    <x v="1"/>
    <s v="Yes"/>
    <n v="20"/>
    <n v="12"/>
    <n v="18"/>
  </r>
  <r>
    <n v="3415"/>
    <s v="William Carvalho"/>
    <x v="1"/>
    <x v="183"/>
    <x v="1"/>
    <n v="5"/>
    <x v="0"/>
    <s v="No"/>
    <x v="1"/>
    <s v="No"/>
    <n v="0"/>
    <n v="2"/>
    <n v="3"/>
  </r>
  <r>
    <n v="3416"/>
    <s v="Ximena Barros"/>
    <x v="0"/>
    <x v="184"/>
    <x v="0"/>
    <n v="15"/>
    <x v="1"/>
    <s v="Yes"/>
    <x v="0"/>
    <s v="Yes"/>
    <n v="20"/>
    <n v="5"/>
    <n v="60"/>
  </r>
  <r>
    <n v="3417"/>
    <s v="Yara Machado"/>
    <x v="2"/>
    <x v="185"/>
    <x v="1"/>
    <n v="10"/>
    <x v="0"/>
    <s v="No"/>
    <x v="1"/>
    <s v="Yes"/>
    <n v="20"/>
    <n v="10"/>
    <n v="20"/>
  </r>
  <r>
    <n v="3418"/>
    <s v="Zacarias Costa"/>
    <x v="1"/>
    <x v="186"/>
    <x v="0"/>
    <n v="5"/>
    <x v="2"/>
    <s v="No"/>
    <x v="1"/>
    <s v="No"/>
    <n v="0"/>
    <n v="0"/>
    <n v="5"/>
  </r>
  <r>
    <n v="3419"/>
    <s v="André Lopes"/>
    <x v="0"/>
    <x v="187"/>
    <x v="1"/>
    <n v="15"/>
    <x v="0"/>
    <s v="Yes"/>
    <x v="0"/>
    <s v="Yes"/>
    <n v="20"/>
    <n v="3"/>
    <n v="62"/>
  </r>
  <r>
    <n v="3420"/>
    <s v="Beatriz Souza"/>
    <x v="2"/>
    <x v="188"/>
    <x v="0"/>
    <n v="10"/>
    <x v="1"/>
    <s v="No"/>
    <x v="1"/>
    <s v="Yes"/>
    <n v="20"/>
    <n v="15"/>
    <n v="15"/>
  </r>
  <r>
    <n v="3421"/>
    <s v="Caio Pereira"/>
    <x v="1"/>
    <x v="189"/>
    <x v="1"/>
    <n v="5"/>
    <x v="0"/>
    <s v="No"/>
    <x v="1"/>
    <s v="No"/>
    <n v="0"/>
    <n v="1"/>
    <n v="4"/>
  </r>
  <r>
    <n v="3422"/>
    <s v="Daniela Araújo"/>
    <x v="0"/>
    <x v="190"/>
    <x v="0"/>
    <n v="15"/>
    <x v="2"/>
    <s v="Yes"/>
    <x v="0"/>
    <s v="Yes"/>
    <n v="20"/>
    <n v="7"/>
    <n v="58"/>
  </r>
  <r>
    <n v="3423"/>
    <s v="Eduardo Santos"/>
    <x v="2"/>
    <x v="191"/>
    <x v="1"/>
    <n v="10"/>
    <x v="0"/>
    <s v="No"/>
    <x v="1"/>
    <s v="Yes"/>
    <n v="20"/>
    <n v="10"/>
    <n v="20"/>
  </r>
  <r>
    <n v="3424"/>
    <s v="Fernanda Lima"/>
    <x v="1"/>
    <x v="192"/>
    <x v="0"/>
    <n v="5"/>
    <x v="1"/>
    <s v="No"/>
    <x v="1"/>
    <s v="No"/>
    <n v="0"/>
    <n v="0"/>
    <n v="5"/>
  </r>
  <r>
    <n v="3425"/>
    <s v="Gabriel Teixeira"/>
    <x v="0"/>
    <x v="193"/>
    <x v="1"/>
    <n v="15"/>
    <x v="0"/>
    <s v="Yes"/>
    <x v="0"/>
    <s v="Yes"/>
    <n v="20"/>
    <n v="20"/>
    <n v="45"/>
  </r>
  <r>
    <n v="3426"/>
    <s v="Helena Ribeiro"/>
    <x v="2"/>
    <x v="194"/>
    <x v="0"/>
    <n v="10"/>
    <x v="2"/>
    <s v="No"/>
    <x v="1"/>
    <s v="Yes"/>
    <n v="20"/>
    <n v="15"/>
    <n v="15"/>
  </r>
  <r>
    <n v="3427"/>
    <s v="Igor Mendes"/>
    <x v="1"/>
    <x v="195"/>
    <x v="1"/>
    <n v="5"/>
    <x v="0"/>
    <s v="No"/>
    <x v="1"/>
    <s v="No"/>
    <n v="0"/>
    <n v="1"/>
    <n v="4"/>
  </r>
  <r>
    <n v="3428"/>
    <s v="Joana Silveira"/>
    <x v="0"/>
    <x v="196"/>
    <x v="0"/>
    <n v="15"/>
    <x v="1"/>
    <s v="Yes"/>
    <x v="0"/>
    <s v="Yes"/>
    <n v="20"/>
    <n v="3"/>
    <n v="62"/>
  </r>
  <r>
    <n v="3429"/>
    <s v="Lucas Martins"/>
    <x v="2"/>
    <x v="197"/>
    <x v="1"/>
    <n v="10"/>
    <x v="0"/>
    <s v="No"/>
    <x v="1"/>
    <s v="Yes"/>
    <n v="20"/>
    <n v="10"/>
    <n v="20"/>
  </r>
  <r>
    <n v="3430"/>
    <s v="Marcela Gouveia"/>
    <x v="1"/>
    <x v="198"/>
    <x v="0"/>
    <n v="5"/>
    <x v="2"/>
    <s v="No"/>
    <x v="1"/>
    <s v="No"/>
    <n v="0"/>
    <n v="0"/>
    <n v="5"/>
  </r>
  <r>
    <n v="3431"/>
    <s v="Nicolas Borges"/>
    <x v="0"/>
    <x v="199"/>
    <x v="1"/>
    <n v="15"/>
    <x v="0"/>
    <s v="Yes"/>
    <x v="0"/>
    <s v="Yes"/>
    <n v="20"/>
    <n v="15"/>
    <n v="50"/>
  </r>
  <r>
    <n v="3432"/>
    <s v="Olivia Freitas"/>
    <x v="2"/>
    <x v="200"/>
    <x v="0"/>
    <n v="10"/>
    <x v="1"/>
    <s v="No"/>
    <x v="1"/>
    <s v="Yes"/>
    <n v="20"/>
    <n v="15"/>
    <n v="15"/>
  </r>
  <r>
    <n v="3433"/>
    <s v="Paulo Nogueira"/>
    <x v="1"/>
    <x v="201"/>
    <x v="1"/>
    <n v="5"/>
    <x v="0"/>
    <s v="No"/>
    <x v="1"/>
    <s v="No"/>
    <n v="0"/>
    <n v="1"/>
    <n v="4"/>
  </r>
  <r>
    <n v="3434"/>
    <s v="Raquel Andrade"/>
    <x v="0"/>
    <x v="202"/>
    <x v="0"/>
    <n v="15"/>
    <x v="2"/>
    <s v="Yes"/>
    <x v="0"/>
    <s v="Yes"/>
    <n v="20"/>
    <n v="7"/>
    <n v="58"/>
  </r>
  <r>
    <n v="3435"/>
    <s v="Sônia Carvalho"/>
    <x v="2"/>
    <x v="203"/>
    <x v="1"/>
    <n v="10"/>
    <x v="0"/>
    <s v="No"/>
    <x v="1"/>
    <s v="Yes"/>
    <n v="20"/>
    <n v="10"/>
    <n v="20"/>
  </r>
  <r>
    <n v="3436"/>
    <s v="Tiago Rodrigues"/>
    <x v="1"/>
    <x v="204"/>
    <x v="0"/>
    <n v="5"/>
    <x v="0"/>
    <s v="No"/>
    <x v="1"/>
    <s v="No"/>
    <n v="0"/>
    <n v="0"/>
    <n v="5"/>
  </r>
  <r>
    <n v="3437"/>
    <s v="Ursula Monteiro"/>
    <x v="0"/>
    <x v="205"/>
    <x v="1"/>
    <n v="15"/>
    <x v="2"/>
    <s v="Yes"/>
    <x v="0"/>
    <s v="Yes"/>
    <n v="20"/>
    <n v="7"/>
    <n v="58"/>
  </r>
  <r>
    <n v="3438"/>
    <s v="Vanessa Pereira"/>
    <x v="2"/>
    <x v="206"/>
    <x v="0"/>
    <n v="10"/>
    <x v="1"/>
    <s v="No"/>
    <x v="1"/>
    <s v="Yes"/>
    <n v="20"/>
    <n v="10"/>
    <n v="20"/>
  </r>
  <r>
    <n v="3439"/>
    <s v="Walter Silva"/>
    <x v="1"/>
    <x v="207"/>
    <x v="1"/>
    <n v="5"/>
    <x v="2"/>
    <s v="No"/>
    <x v="1"/>
    <s v="No"/>
    <n v="0"/>
    <n v="1"/>
    <n v="4"/>
  </r>
  <r>
    <n v="3440"/>
    <s v="Xavier Almeida"/>
    <x v="0"/>
    <x v="208"/>
    <x v="0"/>
    <n v="15"/>
    <x v="0"/>
    <s v="Yes"/>
    <x v="0"/>
    <s v="Yes"/>
    <n v="20"/>
    <n v="15"/>
    <n v="50"/>
  </r>
  <r>
    <n v="3441"/>
    <s v="Yasmine Correia"/>
    <x v="2"/>
    <x v="209"/>
    <x v="1"/>
    <n v="10"/>
    <x v="0"/>
    <s v="No"/>
    <x v="1"/>
    <s v="Yes"/>
    <n v="20"/>
    <n v="5"/>
    <n v="25"/>
  </r>
  <r>
    <n v="3442"/>
    <s v="Zacarias Almeida"/>
    <x v="1"/>
    <x v="210"/>
    <x v="0"/>
    <n v="5"/>
    <x v="1"/>
    <s v="No"/>
    <x v="1"/>
    <s v="No"/>
    <n v="0"/>
    <n v="0"/>
    <n v="5"/>
  </r>
  <r>
    <n v="3443"/>
    <s v="Amanda Costa"/>
    <x v="0"/>
    <x v="211"/>
    <x v="1"/>
    <n v="15"/>
    <x v="2"/>
    <s v="Yes"/>
    <x v="0"/>
    <s v="Yes"/>
    <n v="20"/>
    <n v="20"/>
    <n v="45"/>
  </r>
  <r>
    <n v="3444"/>
    <s v="Bruno Ferreira"/>
    <x v="2"/>
    <x v="212"/>
    <x v="0"/>
    <n v="10"/>
    <x v="2"/>
    <s v="No"/>
    <x v="1"/>
    <s v="Yes"/>
    <n v="20"/>
    <n v="12"/>
    <n v="18"/>
  </r>
  <r>
    <n v="3445"/>
    <s v="Carla Dias"/>
    <x v="1"/>
    <x v="213"/>
    <x v="1"/>
    <n v="5"/>
    <x v="0"/>
    <s v="No"/>
    <x v="1"/>
    <s v="No"/>
    <n v="0"/>
    <n v="2"/>
    <n v="3"/>
  </r>
  <r>
    <n v="3446"/>
    <s v="Diogo Martins"/>
    <x v="0"/>
    <x v="214"/>
    <x v="0"/>
    <n v="15"/>
    <x v="1"/>
    <s v="Yes"/>
    <x v="0"/>
    <s v="Yes"/>
    <n v="20"/>
    <n v="5"/>
    <n v="60"/>
  </r>
  <r>
    <n v="3447"/>
    <s v="Elisa Campos"/>
    <x v="2"/>
    <x v="215"/>
    <x v="1"/>
    <n v="10"/>
    <x v="0"/>
    <s v="No"/>
    <x v="1"/>
    <s v="Yes"/>
    <n v="20"/>
    <n v="10"/>
    <n v="20"/>
  </r>
  <r>
    <n v="3448"/>
    <s v="Fabiana Lima"/>
    <x v="1"/>
    <x v="216"/>
    <x v="0"/>
    <n v="5"/>
    <x v="2"/>
    <s v="No"/>
    <x v="1"/>
    <s v="No"/>
    <n v="0"/>
    <n v="0"/>
    <n v="5"/>
  </r>
  <r>
    <n v="3449"/>
    <s v="Gabriel Santos"/>
    <x v="0"/>
    <x v="217"/>
    <x v="1"/>
    <n v="15"/>
    <x v="0"/>
    <s v="Yes"/>
    <x v="0"/>
    <s v="Yes"/>
    <n v="20"/>
    <n v="3"/>
    <n v="62"/>
  </r>
  <r>
    <n v="3450"/>
    <s v="Helena Ferreira"/>
    <x v="2"/>
    <x v="218"/>
    <x v="0"/>
    <n v="10"/>
    <x v="1"/>
    <s v="No"/>
    <x v="1"/>
    <s v="Yes"/>
    <n v="20"/>
    <n v="15"/>
    <n v="15"/>
  </r>
  <r>
    <n v="3451"/>
    <s v="Ígor Nunes"/>
    <x v="1"/>
    <x v="219"/>
    <x v="1"/>
    <n v="5"/>
    <x v="0"/>
    <s v="No"/>
    <x v="1"/>
    <s v="No"/>
    <n v="0"/>
    <n v="1"/>
    <n v="4"/>
  </r>
  <r>
    <n v="3452"/>
    <s v="Joana Silveira"/>
    <x v="0"/>
    <x v="220"/>
    <x v="0"/>
    <n v="15"/>
    <x v="2"/>
    <s v="Yes"/>
    <x v="0"/>
    <s v="Yes"/>
    <n v="20"/>
    <n v="7"/>
    <n v="58"/>
  </r>
  <r>
    <n v="3453"/>
    <s v="Kléber Oliveira"/>
    <x v="2"/>
    <x v="221"/>
    <x v="1"/>
    <n v="10"/>
    <x v="0"/>
    <s v="No"/>
    <x v="1"/>
    <s v="Yes"/>
    <n v="20"/>
    <n v="10"/>
    <n v="20"/>
  </r>
  <r>
    <n v="3454"/>
    <s v="Luciana Morais"/>
    <x v="1"/>
    <x v="222"/>
    <x v="0"/>
    <n v="5"/>
    <x v="1"/>
    <s v="No"/>
    <x v="1"/>
    <s v="No"/>
    <n v="0"/>
    <n v="0"/>
    <n v="5"/>
  </r>
  <r>
    <n v="3455"/>
    <s v="Marcos Vinícius"/>
    <x v="0"/>
    <x v="223"/>
    <x v="1"/>
    <n v="15"/>
    <x v="0"/>
    <s v="Yes"/>
    <x v="0"/>
    <s v="Yes"/>
    <n v="20"/>
    <n v="20"/>
    <n v="45"/>
  </r>
  <r>
    <n v="3456"/>
    <s v="Natália Barros"/>
    <x v="2"/>
    <x v="224"/>
    <x v="0"/>
    <n v="10"/>
    <x v="2"/>
    <s v="No"/>
    <x v="1"/>
    <s v="Yes"/>
    <n v="20"/>
    <n v="15"/>
    <n v="15"/>
  </r>
  <r>
    <n v="3457"/>
    <s v="Oscar Sampaio"/>
    <x v="1"/>
    <x v="225"/>
    <x v="1"/>
    <n v="5"/>
    <x v="0"/>
    <s v="No"/>
    <x v="1"/>
    <s v="No"/>
    <n v="0"/>
    <n v="1"/>
    <n v="4"/>
  </r>
  <r>
    <n v="3458"/>
    <s v="Patrícia Leite"/>
    <x v="0"/>
    <x v="226"/>
    <x v="0"/>
    <n v="15"/>
    <x v="1"/>
    <s v="Yes"/>
    <x v="0"/>
    <s v="Yes"/>
    <n v="20"/>
    <n v="3"/>
    <n v="62"/>
  </r>
  <r>
    <n v="3459"/>
    <s v="Quênia Rocha"/>
    <x v="2"/>
    <x v="227"/>
    <x v="1"/>
    <n v="10"/>
    <x v="0"/>
    <s v="No"/>
    <x v="1"/>
    <s v="Yes"/>
    <n v="20"/>
    <n v="10"/>
    <n v="20"/>
  </r>
  <r>
    <n v="3460"/>
    <s v="Rafael Torres"/>
    <x v="1"/>
    <x v="228"/>
    <x v="0"/>
    <n v="5"/>
    <x v="2"/>
    <s v="No"/>
    <x v="1"/>
    <s v="No"/>
    <n v="0"/>
    <n v="0"/>
    <n v="5"/>
  </r>
  <r>
    <n v="3461"/>
    <s v="Sandra Gouveia"/>
    <x v="0"/>
    <x v="229"/>
    <x v="1"/>
    <n v="15"/>
    <x v="0"/>
    <s v="Yes"/>
    <x v="0"/>
    <s v="Yes"/>
    <n v="20"/>
    <n v="15"/>
    <n v="50"/>
  </r>
  <r>
    <n v="3462"/>
    <s v="Tiago Lacerda"/>
    <x v="2"/>
    <x v="230"/>
    <x v="0"/>
    <n v="10"/>
    <x v="1"/>
    <s v="No"/>
    <x v="1"/>
    <s v="Yes"/>
    <n v="20"/>
    <n v="15"/>
    <n v="15"/>
  </r>
  <r>
    <n v="3463"/>
    <s v="Ursula Fonseca"/>
    <x v="1"/>
    <x v="231"/>
    <x v="1"/>
    <n v="5"/>
    <x v="0"/>
    <s v="No"/>
    <x v="1"/>
    <s v="No"/>
    <n v="0"/>
    <n v="1"/>
    <n v="4"/>
  </r>
  <r>
    <n v="3464"/>
    <s v="Vanessa Andrade"/>
    <x v="0"/>
    <x v="232"/>
    <x v="0"/>
    <n v="15"/>
    <x v="2"/>
    <s v="Yes"/>
    <x v="0"/>
    <s v="Yes"/>
    <n v="20"/>
    <n v="7"/>
    <n v="58"/>
  </r>
  <r>
    <n v="3465"/>
    <s v="William Castro"/>
    <x v="2"/>
    <x v="233"/>
    <x v="1"/>
    <n v="10"/>
    <x v="0"/>
    <s v="No"/>
    <x v="1"/>
    <s v="Yes"/>
    <n v="20"/>
    <n v="10"/>
    <n v="20"/>
  </r>
  <r>
    <n v="3466"/>
    <s v="Xavier Monteiro"/>
    <x v="1"/>
    <x v="234"/>
    <x v="0"/>
    <n v="5"/>
    <x v="1"/>
    <s v="No"/>
    <x v="1"/>
    <s v="No"/>
    <n v="0"/>
    <n v="0"/>
    <n v="5"/>
  </r>
  <r>
    <n v="3467"/>
    <s v="Yasmin Figueira"/>
    <x v="0"/>
    <x v="235"/>
    <x v="1"/>
    <n v="15"/>
    <x v="0"/>
    <s v="Yes"/>
    <x v="0"/>
    <s v="Yes"/>
    <n v="20"/>
    <n v="15"/>
    <n v="50"/>
  </r>
  <r>
    <n v="3468"/>
    <s v="Zacarias Mendonça"/>
    <x v="2"/>
    <x v="236"/>
    <x v="0"/>
    <n v="10"/>
    <x v="2"/>
    <s v="No"/>
    <x v="1"/>
    <s v="Yes"/>
    <n v="20"/>
    <n v="12"/>
    <n v="18"/>
  </r>
  <r>
    <n v="3469"/>
    <s v="Amanda Menezes"/>
    <x v="1"/>
    <x v="237"/>
    <x v="1"/>
    <n v="5"/>
    <x v="0"/>
    <s v="No"/>
    <x v="1"/>
    <s v="No"/>
    <n v="0"/>
    <n v="2"/>
    <n v="3"/>
  </r>
  <r>
    <n v="3470"/>
    <s v="Bruno Santos"/>
    <x v="0"/>
    <x v="238"/>
    <x v="0"/>
    <n v="15"/>
    <x v="1"/>
    <s v="Yes"/>
    <x v="0"/>
    <s v="Yes"/>
    <n v="20"/>
    <n v="5"/>
    <n v="60"/>
  </r>
  <r>
    <n v="3471"/>
    <s v="Carla Ferreira"/>
    <x v="2"/>
    <x v="239"/>
    <x v="1"/>
    <n v="10"/>
    <x v="0"/>
    <s v="No"/>
    <x v="1"/>
    <s v="Yes"/>
    <n v="20"/>
    <n v="10"/>
    <n v="20"/>
  </r>
  <r>
    <n v="3472"/>
    <s v="Diogo Alves"/>
    <x v="1"/>
    <x v="240"/>
    <x v="0"/>
    <n v="5"/>
    <x v="2"/>
    <s v="No"/>
    <x v="1"/>
    <s v="No"/>
    <n v="0"/>
    <n v="0"/>
    <n v="5"/>
  </r>
  <r>
    <n v="3473"/>
    <s v="Elisa Neves"/>
    <x v="0"/>
    <x v="241"/>
    <x v="1"/>
    <n v="15"/>
    <x v="0"/>
    <s v="Yes"/>
    <x v="0"/>
    <s v="Yes"/>
    <n v="20"/>
    <n v="3"/>
    <n v="62"/>
  </r>
  <r>
    <n v="3474"/>
    <s v="Fabiano Pires"/>
    <x v="2"/>
    <x v="242"/>
    <x v="0"/>
    <n v="10"/>
    <x v="1"/>
    <s v="No"/>
    <x v="1"/>
    <s v="Yes"/>
    <n v="20"/>
    <n v="15"/>
    <n v="15"/>
  </r>
  <r>
    <n v="3475"/>
    <s v="Giovana Ribeiro"/>
    <x v="1"/>
    <x v="243"/>
    <x v="1"/>
    <n v="5"/>
    <x v="0"/>
    <s v="No"/>
    <x v="1"/>
    <s v="No"/>
    <n v="0"/>
    <n v="1"/>
    <n v="4"/>
  </r>
  <r>
    <n v="3476"/>
    <s v="Hélio Costa"/>
    <x v="0"/>
    <x v="244"/>
    <x v="0"/>
    <n v="15"/>
    <x v="2"/>
    <s v="Yes"/>
    <x v="0"/>
    <s v="Yes"/>
    <n v="20"/>
    <n v="7"/>
    <n v="58"/>
  </r>
  <r>
    <n v="3477"/>
    <s v="Íris Loureiro"/>
    <x v="2"/>
    <x v="245"/>
    <x v="1"/>
    <n v="10"/>
    <x v="0"/>
    <s v="No"/>
    <x v="1"/>
    <s v="Yes"/>
    <n v="20"/>
    <n v="10"/>
    <n v="20"/>
  </r>
  <r>
    <n v="3478"/>
    <s v="João Pereira"/>
    <x v="1"/>
    <x v="246"/>
    <x v="0"/>
    <n v="5"/>
    <x v="1"/>
    <s v="No"/>
    <x v="1"/>
    <s v="No"/>
    <n v="0"/>
    <n v="0"/>
    <n v="5"/>
  </r>
  <r>
    <n v="3479"/>
    <s v="Klara Silva"/>
    <x v="0"/>
    <x v="247"/>
    <x v="1"/>
    <n v="15"/>
    <x v="0"/>
    <s v="Yes"/>
    <x v="0"/>
    <s v="Yes"/>
    <n v="20"/>
    <n v="20"/>
    <n v="45"/>
  </r>
  <r>
    <n v="3480"/>
    <s v="Luciana Barros"/>
    <x v="2"/>
    <x v="248"/>
    <x v="0"/>
    <n v="10"/>
    <x v="2"/>
    <s v="No"/>
    <x v="1"/>
    <s v="Yes"/>
    <n v="20"/>
    <n v="15"/>
    <n v="15"/>
  </r>
  <r>
    <n v="3481"/>
    <s v="Marcos Gomes"/>
    <x v="1"/>
    <x v="249"/>
    <x v="1"/>
    <n v="5"/>
    <x v="0"/>
    <s v="No"/>
    <x v="1"/>
    <s v="No"/>
    <n v="0"/>
    <n v="1"/>
    <n v="4"/>
  </r>
  <r>
    <n v="3482"/>
    <s v="Natália Soares"/>
    <x v="0"/>
    <x v="250"/>
    <x v="0"/>
    <n v="15"/>
    <x v="1"/>
    <s v="Yes"/>
    <x v="0"/>
    <s v="Yes"/>
    <n v="20"/>
    <n v="3"/>
    <n v="62"/>
  </r>
  <r>
    <n v="3483"/>
    <s v="Oscar Machado"/>
    <x v="2"/>
    <x v="251"/>
    <x v="1"/>
    <n v="10"/>
    <x v="0"/>
    <s v="No"/>
    <x v="1"/>
    <s v="Yes"/>
    <n v="20"/>
    <n v="10"/>
    <n v="20"/>
  </r>
  <r>
    <n v="3484"/>
    <s v="Patrícia Lima"/>
    <x v="1"/>
    <x v="252"/>
    <x v="0"/>
    <n v="5"/>
    <x v="2"/>
    <s v="No"/>
    <x v="1"/>
    <s v="No"/>
    <n v="0"/>
    <n v="0"/>
    <n v="5"/>
  </r>
  <r>
    <n v="3485"/>
    <s v="Quirino Neto"/>
    <x v="0"/>
    <x v="253"/>
    <x v="1"/>
    <n v="15"/>
    <x v="0"/>
    <s v="Yes"/>
    <x v="0"/>
    <s v="Yes"/>
    <n v="20"/>
    <n v="15"/>
    <n v="50"/>
  </r>
  <r>
    <n v="3486"/>
    <s v="Rafaela Souza"/>
    <x v="1"/>
    <x v="254"/>
    <x v="0"/>
    <n v="5"/>
    <x v="0"/>
    <s v="No"/>
    <x v="1"/>
    <s v="No"/>
    <n v="0"/>
    <n v="0"/>
    <n v="5"/>
  </r>
  <r>
    <n v="3487"/>
    <s v="Sandro Almeida"/>
    <x v="0"/>
    <x v="255"/>
    <x v="1"/>
    <n v="15"/>
    <x v="2"/>
    <s v="Yes"/>
    <x v="0"/>
    <s v="Yes"/>
    <n v="20"/>
    <n v="7"/>
    <n v="58"/>
  </r>
  <r>
    <n v="3488"/>
    <s v="Tânia Ribeiro"/>
    <x v="2"/>
    <x v="256"/>
    <x v="0"/>
    <n v="10"/>
    <x v="1"/>
    <s v="No"/>
    <x v="1"/>
    <s v="Yes"/>
    <n v="20"/>
    <n v="10"/>
    <n v="20"/>
  </r>
  <r>
    <n v="3489"/>
    <s v="Ugo Dias"/>
    <x v="1"/>
    <x v="257"/>
    <x v="1"/>
    <n v="5"/>
    <x v="2"/>
    <s v="No"/>
    <x v="1"/>
    <s v="No"/>
    <n v="0"/>
    <n v="1"/>
    <n v="4"/>
  </r>
  <r>
    <n v="3490"/>
    <s v="Valéria Lima"/>
    <x v="0"/>
    <x v="258"/>
    <x v="0"/>
    <n v="15"/>
    <x v="0"/>
    <s v="Yes"/>
    <x v="0"/>
    <s v="Yes"/>
    <n v="20"/>
    <n v="15"/>
    <n v="50"/>
  </r>
  <r>
    <n v="3491"/>
    <s v="William Fernandes"/>
    <x v="2"/>
    <x v="259"/>
    <x v="1"/>
    <n v="10"/>
    <x v="0"/>
    <s v="No"/>
    <x v="1"/>
    <s v="Yes"/>
    <n v="20"/>
    <n v="5"/>
    <n v="25"/>
  </r>
  <r>
    <n v="3492"/>
    <s v="Xuxa Mendes"/>
    <x v="1"/>
    <x v="260"/>
    <x v="0"/>
    <n v="5"/>
    <x v="1"/>
    <s v="No"/>
    <x v="1"/>
    <s v="No"/>
    <n v="0"/>
    <n v="0"/>
    <n v="5"/>
  </r>
  <r>
    <n v="3493"/>
    <s v="Ygor Farias"/>
    <x v="0"/>
    <x v="261"/>
    <x v="1"/>
    <n v="15"/>
    <x v="2"/>
    <s v="Yes"/>
    <x v="0"/>
    <s v="Yes"/>
    <n v="20"/>
    <n v="20"/>
    <n v="45"/>
  </r>
  <r>
    <n v="3494"/>
    <s v="Zilda Barros"/>
    <x v="2"/>
    <x v="262"/>
    <x v="0"/>
    <n v="10"/>
    <x v="2"/>
    <s v="No"/>
    <x v="1"/>
    <s v="Yes"/>
    <n v="20"/>
    <n v="12"/>
    <n v="18"/>
  </r>
  <r>
    <n v="3495"/>
    <s v="Amanda Santos"/>
    <x v="1"/>
    <x v="263"/>
    <x v="1"/>
    <n v="5"/>
    <x v="0"/>
    <s v="No"/>
    <x v="1"/>
    <s v="No"/>
    <n v="0"/>
    <n v="2"/>
    <n v="3"/>
  </r>
  <r>
    <n v="3496"/>
    <s v="Bruno Costa"/>
    <x v="0"/>
    <x v="264"/>
    <x v="0"/>
    <n v="15"/>
    <x v="1"/>
    <s v="Yes"/>
    <x v="0"/>
    <s v="Yes"/>
    <n v="20"/>
    <n v="5"/>
    <n v="60"/>
  </r>
  <r>
    <n v="3497"/>
    <s v="Carla Rodrigues"/>
    <x v="2"/>
    <x v="265"/>
    <x v="1"/>
    <n v="10"/>
    <x v="0"/>
    <s v="No"/>
    <x v="1"/>
    <s v="Yes"/>
    <n v="20"/>
    <n v="10"/>
    <n v="20"/>
  </r>
  <r>
    <n v="3498"/>
    <s v="Diogo Pereira"/>
    <x v="1"/>
    <x v="266"/>
    <x v="0"/>
    <n v="5"/>
    <x v="2"/>
    <s v="No"/>
    <x v="1"/>
    <s v="No"/>
    <n v="0"/>
    <n v="0"/>
    <n v="5"/>
  </r>
  <r>
    <n v="3499"/>
    <s v="Elisa Correia"/>
    <x v="0"/>
    <x v="267"/>
    <x v="1"/>
    <n v="15"/>
    <x v="0"/>
    <s v="Yes"/>
    <x v="0"/>
    <s v="Yes"/>
    <n v="20"/>
    <n v="3"/>
    <n v="62"/>
  </r>
  <r>
    <n v="3500"/>
    <s v="Fábio Lourenço"/>
    <x v="2"/>
    <x v="268"/>
    <x v="0"/>
    <n v="10"/>
    <x v="1"/>
    <s v="No"/>
    <x v="1"/>
    <s v="Yes"/>
    <n v="20"/>
    <n v="15"/>
    <n v="15"/>
  </r>
  <r>
    <n v="3501"/>
    <s v="Gabriela Neves"/>
    <x v="1"/>
    <x v="269"/>
    <x v="1"/>
    <n v="5"/>
    <x v="0"/>
    <s v="No"/>
    <x v="1"/>
    <s v="No"/>
    <n v="0"/>
    <n v="1"/>
    <n v="4"/>
  </r>
  <r>
    <n v="3502"/>
    <s v="Henrique Gonçalves"/>
    <x v="0"/>
    <x v="270"/>
    <x v="0"/>
    <n v="15"/>
    <x v="2"/>
    <s v="Yes"/>
    <x v="0"/>
    <s v="Yes"/>
    <n v="20"/>
    <n v="7"/>
    <n v="58"/>
  </r>
  <r>
    <n v="3503"/>
    <s v="Íris Santos"/>
    <x v="2"/>
    <x v="271"/>
    <x v="1"/>
    <n v="10"/>
    <x v="0"/>
    <s v="No"/>
    <x v="1"/>
    <s v="Yes"/>
    <n v="20"/>
    <n v="10"/>
    <n v="20"/>
  </r>
  <r>
    <n v="3504"/>
    <s v="João Marcelo Alves"/>
    <x v="1"/>
    <x v="272"/>
    <x v="0"/>
    <n v="5"/>
    <x v="1"/>
    <s v="No"/>
    <x v="1"/>
    <s v="No"/>
    <n v="0"/>
    <n v="0"/>
    <n v="5"/>
  </r>
  <r>
    <n v="3505"/>
    <s v="Klara Fonseca"/>
    <x v="0"/>
    <x v="273"/>
    <x v="1"/>
    <n v="15"/>
    <x v="0"/>
    <s v="Yes"/>
    <x v="0"/>
    <s v="Yes"/>
    <n v="20"/>
    <n v="20"/>
    <n v="45"/>
  </r>
  <r>
    <n v="3506"/>
    <s v="Lucas Mendonça"/>
    <x v="2"/>
    <x v="274"/>
    <x v="0"/>
    <n v="10"/>
    <x v="2"/>
    <s v="No"/>
    <x v="1"/>
    <s v="Yes"/>
    <n v="20"/>
    <n v="15"/>
    <n v="15"/>
  </r>
  <r>
    <n v="3507"/>
    <s v="Marcela Torres"/>
    <x v="1"/>
    <x v="275"/>
    <x v="1"/>
    <n v="5"/>
    <x v="0"/>
    <s v="No"/>
    <x v="1"/>
    <s v="No"/>
    <n v="0"/>
    <n v="1"/>
    <n v="4"/>
  </r>
  <r>
    <n v="3508"/>
    <s v="Natália Castro"/>
    <x v="0"/>
    <x v="276"/>
    <x v="0"/>
    <n v="15"/>
    <x v="1"/>
    <s v="Yes"/>
    <x v="0"/>
    <s v="Yes"/>
    <n v="20"/>
    <n v="3"/>
    <n v="62"/>
  </r>
  <r>
    <n v="3509"/>
    <s v="Oscar Martins"/>
    <x v="2"/>
    <x v="277"/>
    <x v="1"/>
    <n v="10"/>
    <x v="0"/>
    <s v="No"/>
    <x v="1"/>
    <s v="Yes"/>
    <n v="20"/>
    <n v="10"/>
    <n v="20"/>
  </r>
  <r>
    <n v="3510"/>
    <s v="Patrícia Oliveira"/>
    <x v="1"/>
    <x v="278"/>
    <x v="0"/>
    <n v="5"/>
    <x v="2"/>
    <s v="No"/>
    <x v="1"/>
    <s v="No"/>
    <n v="0"/>
    <n v="0"/>
    <n v="5"/>
  </r>
  <r>
    <n v="3511"/>
    <s v="Quentin Nogueira"/>
    <x v="0"/>
    <x v="279"/>
    <x v="1"/>
    <n v="15"/>
    <x v="0"/>
    <s v="Yes"/>
    <x v="0"/>
    <s v="Yes"/>
    <n v="20"/>
    <n v="15"/>
    <n v="50"/>
  </r>
  <r>
    <n v="3512"/>
    <s v="Raquel Silva"/>
    <x v="2"/>
    <x v="280"/>
    <x v="0"/>
    <n v="10"/>
    <x v="1"/>
    <s v="No"/>
    <x v="1"/>
    <s v="Yes"/>
    <n v="20"/>
    <n v="15"/>
    <n v="15"/>
  </r>
  <r>
    <n v="3513"/>
    <s v="Sandro Gomes"/>
    <x v="1"/>
    <x v="281"/>
    <x v="1"/>
    <n v="5"/>
    <x v="0"/>
    <s v="No"/>
    <x v="1"/>
    <s v="No"/>
    <n v="0"/>
    <n v="1"/>
    <n v="4"/>
  </r>
  <r>
    <n v="3514"/>
    <s v="Tânia Machado"/>
    <x v="0"/>
    <x v="282"/>
    <x v="0"/>
    <n v="15"/>
    <x v="2"/>
    <s v="Yes"/>
    <x v="0"/>
    <s v="Yes"/>
    <n v="20"/>
    <n v="7"/>
    <n v="58"/>
  </r>
  <r>
    <n v="3515"/>
    <s v="Ursula Silva"/>
    <x v="2"/>
    <x v="283"/>
    <x v="1"/>
    <n v="10"/>
    <x v="0"/>
    <s v="No"/>
    <x v="1"/>
    <s v="Yes"/>
    <n v="20"/>
    <n v="10"/>
    <n v="20"/>
  </r>
  <r>
    <n v="3516"/>
    <s v="Vanessa Moraes"/>
    <x v="1"/>
    <x v="284"/>
    <x v="0"/>
    <n v="5"/>
    <x v="1"/>
    <s v="No"/>
    <x v="1"/>
    <s v="No"/>
    <n v="0"/>
    <n v="0"/>
    <n v="5"/>
  </r>
  <r>
    <n v="3517"/>
    <s v="William Carvalho"/>
    <x v="0"/>
    <x v="285"/>
    <x v="1"/>
    <n v="15"/>
    <x v="0"/>
    <s v="Yes"/>
    <x v="0"/>
    <s v="Yes"/>
    <n v="20"/>
    <n v="20"/>
    <n v="45"/>
  </r>
  <r>
    <n v="3518"/>
    <s v="Xavier Reis"/>
    <x v="2"/>
    <x v="286"/>
    <x v="0"/>
    <n v="10"/>
    <x v="2"/>
    <s v="No"/>
    <x v="1"/>
    <s v="Yes"/>
    <n v="20"/>
    <n v="12"/>
    <n v="18"/>
  </r>
  <r>
    <n v="3519"/>
    <s v="Yasmin Rocha"/>
    <x v="1"/>
    <x v="287"/>
    <x v="1"/>
    <n v="5"/>
    <x v="0"/>
    <s v="No"/>
    <x v="1"/>
    <s v="No"/>
    <n v="0"/>
    <n v="2"/>
    <n v="3"/>
  </r>
  <r>
    <n v="3520"/>
    <s v="Zacarias Duarte"/>
    <x v="0"/>
    <x v="288"/>
    <x v="0"/>
    <n v="15"/>
    <x v="1"/>
    <s v="Yes"/>
    <x v="0"/>
    <s v="Yes"/>
    <n v="20"/>
    <n v="5"/>
    <n v="60"/>
  </r>
  <r>
    <n v="3521"/>
    <s v="Amanda Freitas"/>
    <x v="2"/>
    <x v="289"/>
    <x v="1"/>
    <n v="10"/>
    <x v="0"/>
    <s v="No"/>
    <x v="1"/>
    <s v="Yes"/>
    <n v="20"/>
    <n v="10"/>
    <n v="20"/>
  </r>
  <r>
    <n v="3522"/>
    <s v="Bruno Almeida"/>
    <x v="1"/>
    <x v="290"/>
    <x v="0"/>
    <n v="5"/>
    <x v="2"/>
    <s v="No"/>
    <x v="1"/>
    <s v="No"/>
    <n v="0"/>
    <n v="0"/>
    <n v="5"/>
  </r>
  <r>
    <n v="3523"/>
    <s v="Carla Siqueira"/>
    <x v="0"/>
    <x v="291"/>
    <x v="1"/>
    <n v="15"/>
    <x v="0"/>
    <s v="Yes"/>
    <x v="0"/>
    <s v="Yes"/>
    <n v="20"/>
    <n v="3"/>
    <n v="62"/>
  </r>
  <r>
    <n v="3524"/>
    <s v="Diogo Ramos"/>
    <x v="2"/>
    <x v="292"/>
    <x v="0"/>
    <n v="10"/>
    <x v="1"/>
    <s v="No"/>
    <x v="1"/>
    <s v="Yes"/>
    <n v="20"/>
    <n v="15"/>
    <n v="15"/>
  </r>
  <r>
    <n v="3525"/>
    <s v="Elisa Magalhães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4F0DE-42EC-4037-A8AA-A31B8E577CCC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6:C40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A96DB-5732-46EA-91E9-25C1C78E9AAD}" name="Tabela dinâ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3:C2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58AE8-DED0-4207-8EF4-47E701D7881C}" name="tbl_a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3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F889778-816B-4CB9-B68F-DC0D67793CD4}" sourceName="Subscription Type">
  <pivotTables>
    <pivotTable tabId="3" name="tbl_anual_total"/>
    <pivotTable tabId="3" name="Tabela dinâmica2"/>
    <pivotTable tabId="3" name="Tabela dinâmica3"/>
  </pivotTables>
  <data>
    <tabular pivotCacheId="30724979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9B7D1A2-EB5F-49BB-A577-968E8D92C2E5}" cache="SegmentaçãodeDados_Subscription_Type" caption="Subscription Type" style="Verde Xbox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B8" sqref="B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40"/>
  <sheetViews>
    <sheetView showGridLines="0" zoomScaleNormal="100" workbookViewId="0">
      <selection activeCell="B8" sqref="B8"/>
    </sheetView>
  </sheetViews>
  <sheetFormatPr defaultRowHeight="14.4" x14ac:dyDescent="0.3"/>
  <cols>
    <col min="2" max="2" width="16.77734375" bestFit="1" customWidth="1"/>
    <col min="3" max="4" width="32.21875" bestFit="1" customWidth="1"/>
    <col min="5" max="5" width="14.5546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313</v>
      </c>
    </row>
    <row r="5" spans="2:3" x14ac:dyDescent="0.3">
      <c r="B5" t="s">
        <v>314</v>
      </c>
    </row>
    <row r="6" spans="2:3" x14ac:dyDescent="0.3">
      <c r="B6" t="s">
        <v>318</v>
      </c>
    </row>
    <row r="8" spans="2:3" x14ac:dyDescent="0.3">
      <c r="B8" s="12" t="s">
        <v>16</v>
      </c>
      <c r="C8" t="s">
        <v>20</v>
      </c>
    </row>
    <row r="10" spans="2:3" x14ac:dyDescent="0.3">
      <c r="B10" s="12" t="s">
        <v>315</v>
      </c>
      <c r="C10" t="s">
        <v>317</v>
      </c>
    </row>
    <row r="11" spans="2:3" x14ac:dyDescent="0.3">
      <c r="B11" s="13" t="s">
        <v>23</v>
      </c>
      <c r="C11" s="14">
        <v>2824</v>
      </c>
    </row>
    <row r="12" spans="2:3" x14ac:dyDescent="0.3">
      <c r="B12" s="13" t="s">
        <v>19</v>
      </c>
      <c r="C12" s="14">
        <v>747</v>
      </c>
    </row>
    <row r="13" spans="2:3" x14ac:dyDescent="0.3">
      <c r="B13" s="13" t="s">
        <v>316</v>
      </c>
      <c r="C13" s="14">
        <v>3571</v>
      </c>
    </row>
    <row r="17" spans="2:5" x14ac:dyDescent="0.3">
      <c r="B17" t="s">
        <v>319</v>
      </c>
    </row>
    <row r="21" spans="2:5" x14ac:dyDescent="0.3">
      <c r="B21" s="12" t="s">
        <v>16</v>
      </c>
      <c r="C21" t="s">
        <v>20</v>
      </c>
    </row>
    <row r="23" spans="2:5" x14ac:dyDescent="0.3">
      <c r="B23" s="12" t="s">
        <v>315</v>
      </c>
      <c r="C23" t="s">
        <v>320</v>
      </c>
    </row>
    <row r="24" spans="2:5" x14ac:dyDescent="0.3">
      <c r="B24" s="13" t="s">
        <v>22</v>
      </c>
      <c r="C24" s="17">
        <v>0</v>
      </c>
    </row>
    <row r="25" spans="2:5" x14ac:dyDescent="0.3">
      <c r="B25" s="13" t="s">
        <v>26</v>
      </c>
      <c r="C25" s="17">
        <v>0</v>
      </c>
    </row>
    <row r="26" spans="2:5" x14ac:dyDescent="0.3">
      <c r="B26" s="13" t="s">
        <v>18</v>
      </c>
      <c r="C26" s="17">
        <v>1350</v>
      </c>
      <c r="E26" s="18">
        <f>GETPIVOTDATA("EA Play Season Pass
Price",$B$23)</f>
        <v>1350</v>
      </c>
    </row>
    <row r="27" spans="2:5" x14ac:dyDescent="0.3">
      <c r="B27" s="13" t="s">
        <v>316</v>
      </c>
      <c r="C27" s="17">
        <v>1350</v>
      </c>
    </row>
    <row r="32" spans="2:5" x14ac:dyDescent="0.3">
      <c r="B32" t="s">
        <v>321</v>
      </c>
    </row>
    <row r="34" spans="2:5" x14ac:dyDescent="0.3">
      <c r="B34" s="12" t="s">
        <v>16</v>
      </c>
      <c r="C34" t="s">
        <v>20</v>
      </c>
    </row>
    <row r="36" spans="2:5" x14ac:dyDescent="0.3">
      <c r="B36" s="12" t="s">
        <v>315</v>
      </c>
      <c r="C36" t="s">
        <v>322</v>
      </c>
    </row>
    <row r="37" spans="2:5" x14ac:dyDescent="0.3">
      <c r="B37" s="13" t="s">
        <v>22</v>
      </c>
      <c r="C37" s="14">
        <v>0</v>
      </c>
    </row>
    <row r="38" spans="2:5" x14ac:dyDescent="0.3">
      <c r="B38" s="13" t="s">
        <v>26</v>
      </c>
      <c r="C38" s="14">
        <v>900</v>
      </c>
    </row>
    <row r="39" spans="2:5" x14ac:dyDescent="0.3">
      <c r="B39" s="13" t="s">
        <v>18</v>
      </c>
      <c r="C39" s="14">
        <v>900</v>
      </c>
    </row>
    <row r="40" spans="2:5" x14ac:dyDescent="0.3">
      <c r="B40" s="13" t="s">
        <v>316</v>
      </c>
      <c r="C40" s="14">
        <v>1800</v>
      </c>
      <c r="E40" s="18">
        <f>GETPIVOTDATA("Minecraft Season Pass Price",$B$36)</f>
        <v>1800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82"/>
  <sheetViews>
    <sheetView showGridLines="0" showRowColHeaders="0" tabSelected="1" zoomScale="80" zoomScaleNormal="80" workbookViewId="0">
      <selection activeCell="Z18" sqref="Z18"/>
    </sheetView>
  </sheetViews>
  <sheetFormatPr defaultRowHeight="14.4" x14ac:dyDescent="0.3"/>
  <cols>
    <col min="1" max="1" width="28.33203125" style="5" customWidth="1"/>
    <col min="2" max="2" width="3.5546875" customWidth="1"/>
    <col min="12" max="12" width="6.5546875" customWidth="1"/>
  </cols>
  <sheetData>
    <row r="1" spans="1:3" ht="12.6" customHeight="1" x14ac:dyDescent="0.3"/>
    <row r="2" spans="1:3" ht="39" customHeight="1" x14ac:dyDescent="0.6">
      <c r="C2" s="16"/>
    </row>
    <row r="3" spans="1:3" ht="17.399999999999999" customHeight="1" x14ac:dyDescent="0.45">
      <c r="C3" s="15"/>
    </row>
    <row r="4" spans="1:3" s="7" customFormat="1" ht="8.25" customHeight="1" x14ac:dyDescent="0.3">
      <c r="A4" s="5"/>
    </row>
    <row r="5" spans="1:3" s="7" customFormat="1" ht="19.8" customHeight="1" x14ac:dyDescent="0.4">
      <c r="A5" s="19"/>
    </row>
    <row r="6" spans="1:3" s="7" customFormat="1" ht="7.2" customHeight="1" x14ac:dyDescent="0.3">
      <c r="A6" s="5"/>
    </row>
    <row r="7" spans="1:3" s="7" customFormat="1" ht="10.5" customHeight="1" x14ac:dyDescent="0.3">
      <c r="A7" s="5"/>
    </row>
    <row r="8" spans="1:3" s="7" customFormat="1" ht="9.75" customHeight="1" x14ac:dyDescent="0.3">
      <c r="A8" s="5"/>
    </row>
    <row r="9" spans="1:3" s="7" customFormat="1" ht="33" customHeight="1" x14ac:dyDescent="0.3">
      <c r="A9" s="5"/>
    </row>
    <row r="10" spans="1:3" s="7" customFormat="1" x14ac:dyDescent="0.3">
      <c r="A10" s="5"/>
    </row>
    <row r="11" spans="1:3" s="7" customFormat="1" x14ac:dyDescent="0.3">
      <c r="A11" s="5"/>
    </row>
    <row r="12" spans="1:3" s="7" customFormat="1" x14ac:dyDescent="0.3">
      <c r="A12" s="5"/>
    </row>
    <row r="13" spans="1:3" s="7" customFormat="1" x14ac:dyDescent="0.3">
      <c r="A13" s="5"/>
    </row>
    <row r="14" spans="1:3" s="7" customFormat="1" x14ac:dyDescent="0.3">
      <c r="A14" s="5"/>
    </row>
    <row r="15" spans="1:3" s="7" customFormat="1" x14ac:dyDescent="0.3">
      <c r="A15" s="5"/>
    </row>
    <row r="16" spans="1:3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Gardênia Guedes</cp:lastModifiedBy>
  <dcterms:created xsi:type="dcterms:W3CDTF">2024-12-19T13:13:10Z</dcterms:created>
  <dcterms:modified xsi:type="dcterms:W3CDTF">2025-12-05T01:48:47Z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